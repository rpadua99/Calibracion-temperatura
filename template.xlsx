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ferdigital-my.sharepoint.com/personal/ricardo_padua_probiomed_com_mx/Documents/proyecto/"/>
    </mc:Choice>
  </mc:AlternateContent>
  <xr:revisionPtr revIDLastSave="3" documentId="13_ncr:1_{BF52F1D5-2F09-4581-A9B1-B8EC81BA320B}" xr6:coauthVersionLast="47" xr6:coauthVersionMax="47" xr10:uidLastSave="{0F5C3379-FD6B-4A4A-BBFA-2F0CC6C11DB3}"/>
  <bookViews>
    <workbookView xWindow="-110" yWindow="-110" windowWidth="19420" windowHeight="10300" tabRatio="695" xr2:uid="{00000000-000D-0000-FFFF-FFFF00000000}"/>
  </bookViews>
  <sheets>
    <sheet name="datos crudos" sheetId="43" r:id="rId1"/>
    <sheet name="Reporte (2)" sheetId="42" r:id="rId2"/>
    <sheet name="Patrones" sheetId="38" r:id="rId3"/>
  </sheets>
  <definedNames>
    <definedName name="_xlnm._FilterDatabase" localSheetId="0" hidden="1">'datos crudos'!$AJ$3:$AN$3</definedName>
    <definedName name="_xlnm.Print_Area" localSheetId="1">'Reporte (2)'!$A$1:$M$56</definedName>
    <definedName name="JAIME_PEÑA_PEÑA" localSheetId="1">#REF!</definedName>
    <definedName name="JAIME_PEÑA_PEÑA">#REF!</definedName>
    <definedName name="matriz">'Reporte (2)'!$J$34:$J$38</definedName>
    <definedName name="RAMIRO_ANTONIO_MONROY_VARA" localSheetId="1">#REF!</definedName>
    <definedName name="RAMIRO_ANTONIO_MONROY_VA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8" l="1"/>
  <c r="D44" i="38"/>
  <c r="D45" i="38"/>
  <c r="D46" i="38"/>
  <c r="D47" i="38"/>
  <c r="D48" i="38"/>
  <c r="D49" i="38"/>
  <c r="D50" i="38"/>
  <c r="C43" i="38"/>
  <c r="C44" i="38"/>
  <c r="C45" i="38"/>
  <c r="C46" i="38"/>
  <c r="C47" i="38"/>
  <c r="C48" i="38"/>
  <c r="C49" i="38"/>
  <c r="C50" i="38"/>
  <c r="B43" i="38"/>
  <c r="B44" i="38"/>
  <c r="B45" i="38"/>
  <c r="B46" i="38"/>
  <c r="B47" i="38"/>
  <c r="B48" i="38"/>
  <c r="B49" i="38"/>
  <c r="B50" i="38"/>
  <c r="B51" i="38"/>
  <c r="B52" i="38"/>
  <c r="B53" i="38"/>
  <c r="L4" i="42"/>
  <c r="V17" i="38"/>
  <c r="V10" i="38"/>
  <c r="V11" i="38"/>
  <c r="V12" i="38"/>
  <c r="V13" i="38"/>
  <c r="V14" i="38"/>
  <c r="V15" i="38"/>
  <c r="V16" i="38"/>
  <c r="V9" i="38"/>
  <c r="V8" i="38"/>
  <c r="M11" i="38"/>
  <c r="M12" i="38"/>
  <c r="M13" i="38"/>
  <c r="M14" i="38"/>
  <c r="M15" i="38"/>
  <c r="M16" i="38"/>
  <c r="M17" i="38"/>
  <c r="M10" i="38"/>
  <c r="M8" i="38"/>
  <c r="H48" i="38"/>
  <c r="H49" i="38"/>
  <c r="C47" i="42" l="1"/>
  <c r="L22" i="42" l="1"/>
  <c r="L23" i="42" l="1"/>
  <c r="G38" i="42" l="1"/>
  <c r="G37" i="42"/>
  <c r="G36" i="42"/>
  <c r="G35" i="42"/>
  <c r="G34" i="42"/>
  <c r="N6" i="43"/>
  <c r="N7" i="43" s="1"/>
  <c r="N8" i="43" s="1"/>
  <c r="N9" i="43" l="1"/>
  <c r="N10" i="43" s="1"/>
  <c r="F17" i="42" l="1"/>
  <c r="V9" i="43" l="1"/>
  <c r="Q12" i="43"/>
  <c r="Q11" i="43" s="1"/>
  <c r="I35" i="42"/>
  <c r="I36" i="42"/>
  <c r="I37" i="42"/>
  <c r="I38" i="42"/>
  <c r="Q14" i="43"/>
  <c r="AW56" i="38" l="1"/>
  <c r="AV56" i="38"/>
  <c r="AU56" i="38"/>
  <c r="AW55" i="38"/>
  <c r="AV55" i="38"/>
  <c r="AU55" i="38"/>
  <c r="AW54" i="38"/>
  <c r="AV54" i="38"/>
  <c r="AU54" i="38"/>
  <c r="AW53" i="38"/>
  <c r="AV53" i="38"/>
  <c r="AU53" i="38"/>
  <c r="AW52" i="38"/>
  <c r="AV52" i="38"/>
  <c r="AU52" i="38"/>
  <c r="AW51" i="38"/>
  <c r="AV51" i="38"/>
  <c r="AU51" i="38"/>
  <c r="AW50" i="38"/>
  <c r="AV50" i="38"/>
  <c r="AU50" i="38"/>
  <c r="AW49" i="38"/>
  <c r="AV49" i="38"/>
  <c r="AU49" i="38"/>
  <c r="AW48" i="38"/>
  <c r="AV48" i="38"/>
  <c r="AU48" i="38"/>
  <c r="AW47" i="38"/>
  <c r="AV47" i="38"/>
  <c r="AU47" i="38"/>
  <c r="AW46" i="38"/>
  <c r="AV46" i="38"/>
  <c r="AU46" i="38"/>
  <c r="AW45" i="38"/>
  <c r="AV45" i="38"/>
  <c r="AU45" i="38"/>
  <c r="AW44" i="38"/>
  <c r="AV44" i="38"/>
  <c r="AU44" i="38"/>
  <c r="AW43" i="38"/>
  <c r="AV43" i="38"/>
  <c r="AU43" i="38"/>
  <c r="AW42" i="38"/>
  <c r="AV42" i="38"/>
  <c r="AU42" i="38"/>
  <c r="AW41" i="38"/>
  <c r="AV41" i="38"/>
  <c r="AU41" i="38"/>
  <c r="AW40" i="38"/>
  <c r="AV40" i="38"/>
  <c r="AU40" i="38"/>
  <c r="AW39" i="38"/>
  <c r="AV39" i="38"/>
  <c r="AU39" i="38"/>
  <c r="AW38" i="38"/>
  <c r="AV38" i="38"/>
  <c r="AU38" i="38"/>
  <c r="AW37" i="38"/>
  <c r="AV37" i="38"/>
  <c r="AU37" i="38"/>
  <c r="AW36" i="38"/>
  <c r="AV36" i="38"/>
  <c r="AU36" i="38"/>
  <c r="AZ56" i="38"/>
  <c r="AY56" i="38"/>
  <c r="AX56" i="38"/>
  <c r="AZ55" i="38"/>
  <c r="AY55" i="38"/>
  <c r="AX55" i="38"/>
  <c r="AZ54" i="38"/>
  <c r="AY54" i="38"/>
  <c r="AX54" i="38"/>
  <c r="AZ53" i="38"/>
  <c r="AY53" i="38"/>
  <c r="AX53" i="38"/>
  <c r="AZ52" i="38"/>
  <c r="AY52" i="38"/>
  <c r="AX52" i="38"/>
  <c r="AZ51" i="38"/>
  <c r="AY51" i="38"/>
  <c r="AX51" i="38"/>
  <c r="AZ50" i="38"/>
  <c r="AY50" i="38"/>
  <c r="AX50" i="38"/>
  <c r="AZ49" i="38"/>
  <c r="AY49" i="38"/>
  <c r="AX49" i="38"/>
  <c r="AZ48" i="38"/>
  <c r="AY48" i="38"/>
  <c r="AX48" i="38"/>
  <c r="AZ47" i="38"/>
  <c r="AY47" i="38"/>
  <c r="AX47" i="38"/>
  <c r="AZ46" i="38"/>
  <c r="AY46" i="38"/>
  <c r="AX46" i="38"/>
  <c r="AZ45" i="38"/>
  <c r="AY45" i="38"/>
  <c r="AX45" i="38"/>
  <c r="AZ44" i="38"/>
  <c r="AY44" i="38"/>
  <c r="AX44" i="38"/>
  <c r="AZ43" i="38"/>
  <c r="AY43" i="38"/>
  <c r="AX43" i="38"/>
  <c r="AZ42" i="38"/>
  <c r="AY42" i="38"/>
  <c r="AX42" i="38"/>
  <c r="AZ41" i="38"/>
  <c r="AY41" i="38"/>
  <c r="AX41" i="38"/>
  <c r="AZ40" i="38"/>
  <c r="AY40" i="38"/>
  <c r="AX40" i="38"/>
  <c r="AZ39" i="38"/>
  <c r="AY39" i="38"/>
  <c r="AX39" i="38"/>
  <c r="AZ38" i="38"/>
  <c r="AY38" i="38"/>
  <c r="AX38" i="38"/>
  <c r="AZ37" i="38"/>
  <c r="AY37" i="38"/>
  <c r="AX37" i="38"/>
  <c r="AZ36" i="38"/>
  <c r="AY36" i="38"/>
  <c r="AX36" i="38"/>
  <c r="AZ35" i="38"/>
  <c r="AY35" i="38"/>
  <c r="AX35" i="38"/>
  <c r="AT56" i="38"/>
  <c r="AS56" i="38"/>
  <c r="AR56" i="38"/>
  <c r="AT55" i="38"/>
  <c r="AS55" i="38"/>
  <c r="AR55" i="38"/>
  <c r="AT54" i="38"/>
  <c r="AS54" i="38"/>
  <c r="AR54" i="38"/>
  <c r="AT53" i="38"/>
  <c r="AS53" i="38"/>
  <c r="AR53" i="38"/>
  <c r="AT52" i="38"/>
  <c r="AS52" i="38"/>
  <c r="AR52" i="38"/>
  <c r="AT51" i="38"/>
  <c r="AS51" i="38"/>
  <c r="AR51" i="38"/>
  <c r="AT50" i="38"/>
  <c r="AS50" i="38"/>
  <c r="AR50" i="38"/>
  <c r="AT49" i="38"/>
  <c r="AS49" i="38"/>
  <c r="AR49" i="38"/>
  <c r="AT48" i="38"/>
  <c r="AS48" i="38"/>
  <c r="AR48" i="38"/>
  <c r="AT47" i="38"/>
  <c r="AS47" i="38"/>
  <c r="AR47" i="38"/>
  <c r="AT46" i="38"/>
  <c r="AS46" i="38"/>
  <c r="AR46" i="38"/>
  <c r="AT45" i="38"/>
  <c r="AS45" i="38"/>
  <c r="AR45" i="38"/>
  <c r="AT44" i="38"/>
  <c r="AS44" i="38"/>
  <c r="AR44" i="38"/>
  <c r="AQ56" i="38"/>
  <c r="AP56" i="38"/>
  <c r="AO56" i="38"/>
  <c r="AQ55" i="38"/>
  <c r="AP55" i="38"/>
  <c r="AO55" i="38"/>
  <c r="AQ54" i="38"/>
  <c r="AP54" i="38"/>
  <c r="AO54" i="38"/>
  <c r="AQ53" i="38"/>
  <c r="AP53" i="38"/>
  <c r="AO53" i="38"/>
  <c r="AQ52" i="38"/>
  <c r="AP52" i="38"/>
  <c r="AO52" i="38"/>
  <c r="AQ51" i="38"/>
  <c r="AP51" i="38"/>
  <c r="AO51" i="38"/>
  <c r="AQ50" i="38"/>
  <c r="AP50" i="38"/>
  <c r="AO50" i="38"/>
  <c r="AQ49" i="38"/>
  <c r="AP49" i="38"/>
  <c r="AO49" i="38"/>
  <c r="AQ48" i="38"/>
  <c r="AP48" i="38"/>
  <c r="AO48" i="38"/>
  <c r="AQ47" i="38"/>
  <c r="AP47" i="38"/>
  <c r="AO47" i="38"/>
  <c r="AQ46" i="38"/>
  <c r="AP46" i="38"/>
  <c r="AO46" i="38"/>
  <c r="AQ45" i="38"/>
  <c r="AP45" i="38"/>
  <c r="AO45" i="38"/>
  <c r="AQ44" i="38"/>
  <c r="AP44" i="38"/>
  <c r="AO44" i="38"/>
  <c r="AN56" i="38"/>
  <c r="AM56" i="38"/>
  <c r="AL56" i="38"/>
  <c r="AN55" i="38"/>
  <c r="AM55" i="38"/>
  <c r="AL55" i="38"/>
  <c r="AN54" i="38"/>
  <c r="AM54" i="38"/>
  <c r="AL54" i="38"/>
  <c r="AN53" i="38"/>
  <c r="AM53" i="38"/>
  <c r="AL53" i="38"/>
  <c r="AN52" i="38"/>
  <c r="AM52" i="38"/>
  <c r="AL52" i="38"/>
  <c r="AN51" i="38"/>
  <c r="AM51" i="38"/>
  <c r="AL51" i="38"/>
  <c r="AN50" i="38"/>
  <c r="AM50" i="38"/>
  <c r="AL50" i="38"/>
  <c r="AN49" i="38"/>
  <c r="AM49" i="38"/>
  <c r="AL49" i="38"/>
  <c r="AN48" i="38"/>
  <c r="AM48" i="38"/>
  <c r="AL48" i="38"/>
  <c r="AN47" i="38"/>
  <c r="AM47" i="38"/>
  <c r="AL47" i="38"/>
  <c r="AN46" i="38"/>
  <c r="AM46" i="38"/>
  <c r="AL46" i="38"/>
  <c r="L21" i="42"/>
  <c r="F22" i="42"/>
  <c r="W2" i="43" l="1"/>
  <c r="V56" i="38"/>
  <c r="U56" i="38"/>
  <c r="T56" i="38"/>
  <c r="V55" i="38"/>
  <c r="U55" i="38"/>
  <c r="T55" i="38"/>
  <c r="V54" i="38"/>
  <c r="U54" i="38"/>
  <c r="T54" i="38"/>
  <c r="V53" i="38"/>
  <c r="U53" i="38"/>
  <c r="T53" i="38"/>
  <c r="V52" i="38"/>
  <c r="U52" i="38"/>
  <c r="T52" i="38"/>
  <c r="V51" i="38"/>
  <c r="U51" i="38"/>
  <c r="T51" i="38"/>
  <c r="V50" i="38"/>
  <c r="U50" i="38"/>
  <c r="T50" i="38"/>
  <c r="V49" i="38"/>
  <c r="U49" i="38"/>
  <c r="T49" i="38"/>
  <c r="V48" i="38"/>
  <c r="U48" i="38"/>
  <c r="T48" i="38"/>
  <c r="V47" i="38"/>
  <c r="U47" i="38"/>
  <c r="T47" i="38"/>
  <c r="V46" i="38"/>
  <c r="U46" i="38"/>
  <c r="T46" i="38"/>
  <c r="G10" i="43" l="1"/>
  <c r="G9" i="43"/>
  <c r="W10" i="43"/>
  <c r="AD32" i="43"/>
  <c r="AD33" i="43"/>
  <c r="AD34" i="43"/>
  <c r="AD35" i="43"/>
  <c r="AD31" i="43"/>
  <c r="T35" i="43"/>
  <c r="T34" i="43"/>
  <c r="T33" i="43"/>
  <c r="T32" i="43"/>
  <c r="T31" i="43"/>
  <c r="B70" i="38"/>
  <c r="B67" i="38"/>
  <c r="B64" i="38"/>
  <c r="B61" i="38"/>
  <c r="B58" i="38"/>
  <c r="U27" i="43" l="1"/>
  <c r="P17" i="43"/>
  <c r="A1" i="38"/>
  <c r="AC10" i="43"/>
  <c r="X10" i="43"/>
  <c r="AH2" i="43"/>
  <c r="AC2" i="43"/>
  <c r="X2" i="43"/>
  <c r="AB10" i="43"/>
  <c r="AG2" i="43"/>
  <c r="AB2" i="43"/>
  <c r="O17" i="43"/>
  <c r="H56" i="42" l="1"/>
  <c r="H55" i="42"/>
  <c r="D56" i="42"/>
  <c r="D55" i="42"/>
  <c r="K27" i="42"/>
  <c r="G33" i="42"/>
  <c r="G27" i="42"/>
  <c r="I12" i="42"/>
  <c r="F21" i="42"/>
  <c r="F11" i="42"/>
  <c r="L5" i="42"/>
  <c r="B79" i="38" l="1"/>
  <c r="H67" i="38"/>
  <c r="H64" i="38"/>
  <c r="H61" i="38"/>
  <c r="BB89" i="38" l="1"/>
  <c r="AL61" i="38"/>
  <c r="BC89" i="38"/>
  <c r="BB90" i="38"/>
  <c r="BB93" i="38"/>
  <c r="AL64" i="38"/>
  <c r="BC93" i="38"/>
  <c r="BC90" i="38"/>
  <c r="BB94" i="38"/>
  <c r="AL67" i="38"/>
  <c r="BC94" i="38"/>
  <c r="BB91" i="38"/>
  <c r="BC91" i="38"/>
  <c r="T67" i="38"/>
  <c r="T61" i="38"/>
  <c r="T64" i="38"/>
  <c r="N79" i="38"/>
  <c r="AR79" i="38" s="1"/>
  <c r="E67" i="38"/>
  <c r="E61" i="38"/>
  <c r="Z64" i="38"/>
  <c r="E64" i="38"/>
  <c r="H79" i="38"/>
  <c r="AL79" i="38" s="1"/>
  <c r="E79" i="38"/>
  <c r="B76" i="38"/>
  <c r="B73" i="38"/>
  <c r="F16" i="42"/>
  <c r="F15" i="42"/>
  <c r="F13" i="42"/>
  <c r="F12" i="42"/>
  <c r="T79" i="38" l="1"/>
  <c r="Q79" i="38"/>
  <c r="AI79" i="38"/>
  <c r="AI67" i="38"/>
  <c r="Q67" i="38"/>
  <c r="AI64" i="38"/>
  <c r="Q64" i="38"/>
  <c r="AI61" i="38"/>
  <c r="Q61" i="38"/>
  <c r="E58" i="38"/>
  <c r="H58" i="38"/>
  <c r="N58" i="38"/>
  <c r="AR58" i="38" s="1"/>
  <c r="E70" i="38"/>
  <c r="H70" i="38"/>
  <c r="K79" i="38"/>
  <c r="AO79" i="38" s="1"/>
  <c r="E76" i="38"/>
  <c r="N76" i="38"/>
  <c r="AR76" i="38" s="1"/>
  <c r="H76" i="38"/>
  <c r="AL76" i="38" s="1"/>
  <c r="E73" i="38"/>
  <c r="H73" i="38"/>
  <c r="AL73" i="38" s="1"/>
  <c r="AX79" i="38" l="1"/>
  <c r="AU79" i="38"/>
  <c r="AX67" i="38"/>
  <c r="AU67" i="38"/>
  <c r="AX64" i="38"/>
  <c r="AU64" i="38"/>
  <c r="AX61" i="38"/>
  <c r="AU61" i="38"/>
  <c r="AS94" i="38"/>
  <c r="AT94" i="38"/>
  <c r="AN93" i="38"/>
  <c r="AM93" i="38"/>
  <c r="BB88" i="38"/>
  <c r="AL58" i="38"/>
  <c r="BC88" i="38"/>
  <c r="AM94" i="38"/>
  <c r="AN94" i="38"/>
  <c r="BB92" i="38"/>
  <c r="BB95" i="38"/>
  <c r="AL70" i="38"/>
  <c r="BC92" i="38"/>
  <c r="BC95" i="38"/>
  <c r="T58" i="38"/>
  <c r="T76" i="38"/>
  <c r="T70" i="38"/>
  <c r="T73" i="38"/>
  <c r="AI76" i="38"/>
  <c r="Q76" i="38"/>
  <c r="AI73" i="38"/>
  <c r="Q73" i="38"/>
  <c r="Q70" i="38"/>
  <c r="AI70" i="38"/>
  <c r="Q58" i="38"/>
  <c r="AI58" i="38"/>
  <c r="K70" i="38"/>
  <c r="AO70" i="38" s="1"/>
  <c r="O13" i="43"/>
  <c r="F14" i="42" s="1"/>
  <c r="O12" i="43"/>
  <c r="A2" i="38" l="1"/>
  <c r="AY34" i="38" s="1"/>
  <c r="G17" i="42"/>
  <c r="AX76" i="38"/>
  <c r="AY94" i="38" s="1"/>
  <c r="AU76" i="38"/>
  <c r="AX73" i="38"/>
  <c r="AZ93" i="38" s="1"/>
  <c r="AU73" i="38"/>
  <c r="AW34" i="38"/>
  <c r="AV33" i="38"/>
  <c r="AZ34" i="38"/>
  <c r="AY33" i="38"/>
  <c r="AX70" i="38"/>
  <c r="AU70" i="38"/>
  <c r="AX58" i="38"/>
  <c r="AU58" i="38"/>
  <c r="AZ94" i="38"/>
  <c r="AT42" i="38"/>
  <c r="AS41" i="38"/>
  <c r="AR40" i="38"/>
  <c r="AT38" i="38"/>
  <c r="AS37" i="38"/>
  <c r="AR36" i="38"/>
  <c r="AQ42" i="38"/>
  <c r="AP41" i="38"/>
  <c r="AO40" i="38"/>
  <c r="AQ38" i="38"/>
  <c r="AP37" i="38"/>
  <c r="AO36" i="38"/>
  <c r="AQ34" i="38"/>
  <c r="AR42" i="38"/>
  <c r="AR38" i="38"/>
  <c r="AP43" i="38"/>
  <c r="AP39" i="38"/>
  <c r="AP35" i="38"/>
  <c r="AT43" i="38"/>
  <c r="AS42" i="38"/>
  <c r="AR41" i="38"/>
  <c r="AT39" i="38"/>
  <c r="AS38" i="38"/>
  <c r="AR37" i="38"/>
  <c r="AQ43" i="38"/>
  <c r="AP42" i="38"/>
  <c r="AO41" i="38"/>
  <c r="AQ39" i="38"/>
  <c r="AP38" i="38"/>
  <c r="AO37" i="38"/>
  <c r="AQ35" i="38"/>
  <c r="AP34" i="38"/>
  <c r="AT40" i="38"/>
  <c r="AT36" i="38"/>
  <c r="AQ40" i="38"/>
  <c r="AQ36" i="38"/>
  <c r="AR43" i="38"/>
  <c r="AT41" i="38"/>
  <c r="AS40" i="38"/>
  <c r="AR39" i="38"/>
  <c r="AT37" i="38"/>
  <c r="AS36" i="38"/>
  <c r="AO43" i="38"/>
  <c r="AQ41" i="38"/>
  <c r="AP40" i="38"/>
  <c r="AO39" i="38"/>
  <c r="AQ37" i="38"/>
  <c r="AP36" i="38"/>
  <c r="AO35" i="38"/>
  <c r="AQ33" i="38"/>
  <c r="AS43" i="38"/>
  <c r="AS39" i="38"/>
  <c r="AO42" i="38"/>
  <c r="AO38" i="38"/>
  <c r="AO34" i="38"/>
  <c r="AN39" i="38"/>
  <c r="AM38" i="38"/>
  <c r="AL37" i="38"/>
  <c r="AN35" i="38"/>
  <c r="AN37" i="38"/>
  <c r="AM36" i="38"/>
  <c r="AL35" i="38"/>
  <c r="AN33" i="38"/>
  <c r="AL36" i="38"/>
  <c r="AN34" i="38"/>
  <c r="AM33" i="38"/>
  <c r="AL38" i="38"/>
  <c r="R94" i="38"/>
  <c r="S94" i="38"/>
  <c r="S93" i="38"/>
  <c r="R93" i="38"/>
  <c r="AK43" i="38"/>
  <c r="AH42" i="38"/>
  <c r="AG41" i="38"/>
  <c r="AF40" i="38"/>
  <c r="AH38" i="38"/>
  <c r="AE37" i="38"/>
  <c r="AD36" i="38"/>
  <c r="AC35" i="38"/>
  <c r="AE33" i="38"/>
  <c r="S42" i="38"/>
  <c r="R41" i="38"/>
  <c r="Q40" i="38"/>
  <c r="S38" i="38"/>
  <c r="N42" i="38"/>
  <c r="P40" i="38"/>
  <c r="P36" i="38"/>
  <c r="O35" i="38"/>
  <c r="N34" i="38"/>
  <c r="M45" i="38"/>
  <c r="M33" i="38"/>
  <c r="I43" i="38"/>
  <c r="J44" i="38"/>
  <c r="J42" i="38"/>
  <c r="E42" i="38"/>
  <c r="G40" i="38"/>
  <c r="F39" i="38"/>
  <c r="E38" i="38"/>
  <c r="G36" i="38"/>
  <c r="AI42" i="38"/>
  <c r="AK40" i="38"/>
  <c r="AJ39" i="38"/>
  <c r="AI38" i="38"/>
  <c r="AK36" i="38"/>
  <c r="AF37" i="38"/>
  <c r="AH35" i="38"/>
  <c r="AG34" i="38"/>
  <c r="AF33" i="38"/>
  <c r="AE42" i="38"/>
  <c r="AB43" i="38"/>
  <c r="AB41" i="38"/>
  <c r="AA40" i="38"/>
  <c r="Z39" i="38"/>
  <c r="AB37" i="38"/>
  <c r="Q37" i="38"/>
  <c r="S35" i="38"/>
  <c r="R34" i="38"/>
  <c r="Q33" i="38"/>
  <c r="P41" i="38"/>
  <c r="O40" i="38"/>
  <c r="L45" i="38"/>
  <c r="K44" i="38"/>
  <c r="M42" i="38"/>
  <c r="L41" i="38"/>
  <c r="K40" i="38"/>
  <c r="M38" i="38"/>
  <c r="H41" i="38"/>
  <c r="J39" i="38"/>
  <c r="I38" i="38"/>
  <c r="H37" i="38"/>
  <c r="J35" i="38"/>
  <c r="E35" i="38"/>
  <c r="G33" i="38"/>
  <c r="AK42" i="38"/>
  <c r="AJ41" i="38"/>
  <c r="AI40" i="38"/>
  <c r="AG40" i="38"/>
  <c r="AF39" i="38"/>
  <c r="AH37" i="38"/>
  <c r="AG36" i="38"/>
  <c r="AF35" i="38"/>
  <c r="AD35" i="38"/>
  <c r="AC34" i="38"/>
  <c r="Z43" i="38"/>
  <c r="AA42" i="38"/>
  <c r="Z41" i="38"/>
  <c r="R40" i="38"/>
  <c r="Q39" i="38"/>
  <c r="S37" i="38"/>
  <c r="R36" i="38"/>
  <c r="Q35" i="38"/>
  <c r="O42" i="38"/>
  <c r="N41" i="38"/>
  <c r="O34" i="38"/>
  <c r="N33" i="38"/>
  <c r="M44" i="38"/>
  <c r="L43" i="38"/>
  <c r="K42" i="38"/>
  <c r="I44" i="38"/>
  <c r="J45" i="38"/>
  <c r="J41" i="38"/>
  <c r="I40" i="38"/>
  <c r="H39" i="38"/>
  <c r="F38" i="38"/>
  <c r="E37" i="38"/>
  <c r="G35" i="38"/>
  <c r="F34" i="38"/>
  <c r="E33" i="38"/>
  <c r="Q34" i="38"/>
  <c r="K41" i="38"/>
  <c r="H38" i="38"/>
  <c r="F37" i="38"/>
  <c r="AF38" i="38"/>
  <c r="P42" i="38"/>
  <c r="AE39" i="38"/>
  <c r="Z40" i="38"/>
  <c r="AB34" i="38"/>
  <c r="P38" i="38"/>
  <c r="I45" i="38"/>
  <c r="K45" i="38"/>
  <c r="AC37" i="38"/>
  <c r="AB42" i="38"/>
  <c r="AA37" i="38"/>
  <c r="Q42" i="38"/>
  <c r="S36" i="38"/>
  <c r="O41" i="38"/>
  <c r="E40" i="38"/>
  <c r="G34" i="38"/>
  <c r="AJ36" i="38"/>
  <c r="AG35" i="38"/>
  <c r="AC41" i="38"/>
  <c r="N40" i="38"/>
  <c r="K37" i="38"/>
  <c r="I39" i="38"/>
  <c r="G38" i="38"/>
  <c r="AF34" i="38"/>
  <c r="AD34" i="38"/>
  <c r="Q38" i="38"/>
  <c r="O37" i="38"/>
  <c r="L34" i="38"/>
  <c r="J36" i="38"/>
  <c r="D33" i="38"/>
  <c r="B42" i="38"/>
  <c r="D41" i="38"/>
  <c r="C42" i="38"/>
  <c r="C34" i="38"/>
  <c r="B40" i="38"/>
  <c r="D36" i="38"/>
  <c r="D42" i="38"/>
  <c r="B35" i="38"/>
  <c r="B39" i="38"/>
  <c r="B33" i="38"/>
  <c r="D37" i="38"/>
  <c r="C38" i="38"/>
  <c r="C41" i="38"/>
  <c r="B41" i="38"/>
  <c r="P18" i="43"/>
  <c r="O30" i="43"/>
  <c r="O31" i="43" s="1"/>
  <c r="AI33" i="38" l="1"/>
  <c r="F33" i="38"/>
  <c r="AH41" i="38"/>
  <c r="AD33" i="38"/>
  <c r="AA35" i="38"/>
  <c r="AS33" i="38"/>
  <c r="J40" i="38"/>
  <c r="Z33" i="38"/>
  <c r="S39" i="38"/>
  <c r="M37" i="38"/>
  <c r="AL40" i="38"/>
  <c r="AT34" i="38"/>
  <c r="K33" i="38"/>
  <c r="O38" i="38"/>
  <c r="J43" i="38"/>
  <c r="AK37" i="38"/>
  <c r="AC43" i="38"/>
  <c r="D38" i="38"/>
  <c r="G42" i="38"/>
  <c r="S40" i="38"/>
  <c r="L38" i="38"/>
  <c r="F41" i="38"/>
  <c r="M39" i="38"/>
  <c r="P34" i="38"/>
  <c r="J33" i="38"/>
  <c r="M36" i="38"/>
  <c r="P39" i="38"/>
  <c r="AB35" i="38"/>
  <c r="AE40" i="38"/>
  <c r="AK34" i="38"/>
  <c r="F40" i="38"/>
  <c r="L33" i="38"/>
  <c r="O36" i="38"/>
  <c r="R42" i="38"/>
  <c r="AD37" i="38"/>
  <c r="AG42" i="38"/>
  <c r="AI39" i="38"/>
  <c r="I37" i="38"/>
  <c r="L40" i="38"/>
  <c r="R33" i="38"/>
  <c r="AA39" i="38"/>
  <c r="AG33" i="38"/>
  <c r="AJ38" i="38"/>
  <c r="T35" i="38"/>
  <c r="AN42" i="38"/>
  <c r="AN36" i="38"/>
  <c r="AT33" i="38"/>
  <c r="AT35" i="38"/>
  <c r="AX34" i="38"/>
  <c r="Z34" i="38"/>
  <c r="I35" i="38"/>
  <c r="P35" i="38"/>
  <c r="I42" i="38"/>
  <c r="I33" i="38"/>
  <c r="AN38" i="38"/>
  <c r="AE43" i="38"/>
  <c r="E41" i="38"/>
  <c r="G37" i="38"/>
  <c r="AH39" i="38"/>
  <c r="AB36" i="38"/>
  <c r="AN41" i="38"/>
  <c r="AR34" i="38"/>
  <c r="B34" i="38"/>
  <c r="H44" i="38"/>
  <c r="AD39" i="38"/>
  <c r="Q41" i="38"/>
  <c r="K39" i="38"/>
  <c r="T33" i="38"/>
  <c r="AV34" i="38"/>
  <c r="C33" i="38"/>
  <c r="C40" i="38"/>
  <c r="Z36" i="38"/>
  <c r="H42" i="38"/>
  <c r="AH40" i="38"/>
  <c r="H35" i="38"/>
  <c r="K38" i="38"/>
  <c r="Z37" i="38"/>
  <c r="AC42" i="38"/>
  <c r="AI36" i="38"/>
  <c r="G41" i="38"/>
  <c r="M34" i="38"/>
  <c r="P37" i="38"/>
  <c r="AB33" i="38"/>
  <c r="AE38" i="38"/>
  <c r="AH43" i="38"/>
  <c r="AI43" i="38"/>
  <c r="J38" i="38"/>
  <c r="M41" i="38"/>
  <c r="S34" i="38"/>
  <c r="AB40" i="38"/>
  <c r="AH34" i="38"/>
  <c r="AK39" i="38"/>
  <c r="V33" i="38"/>
  <c r="AM35" i="38"/>
  <c r="AN40" i="38"/>
  <c r="AR35" i="38"/>
  <c r="AO33" i="38"/>
  <c r="AP33" i="38"/>
  <c r="AQ71" i="38" s="1"/>
  <c r="AU34" i="38"/>
  <c r="K35" i="38"/>
  <c r="N38" i="38"/>
  <c r="AC39" i="38"/>
  <c r="AM37" i="38"/>
  <c r="AL39" i="38"/>
  <c r="AU33" i="38"/>
  <c r="C35" i="38"/>
  <c r="AC33" i="38"/>
  <c r="L42" i="38"/>
  <c r="AD42" i="38"/>
  <c r="G39" i="38"/>
  <c r="H43" i="38"/>
  <c r="S41" i="38"/>
  <c r="F36" i="38"/>
  <c r="AG38" i="38"/>
  <c r="AJ43" i="38"/>
  <c r="L36" i="38"/>
  <c r="AD40" i="38"/>
  <c r="AJ34" i="38"/>
  <c r="V34" i="38"/>
  <c r="AM42" i="38"/>
  <c r="AZ33" i="38"/>
  <c r="C39" i="38"/>
  <c r="B38" i="38"/>
  <c r="AH36" i="38"/>
  <c r="AK33" i="38"/>
  <c r="H34" i="38"/>
  <c r="K34" i="38"/>
  <c r="AC38" i="38"/>
  <c r="AF43" i="38"/>
  <c r="H45" i="38"/>
  <c r="AE34" i="38"/>
  <c r="AI35" i="38"/>
  <c r="J34" i="38"/>
  <c r="AK35" i="38"/>
  <c r="T34" i="38"/>
  <c r="AN43" i="38"/>
  <c r="AS35" i="38"/>
  <c r="AR33" i="38"/>
  <c r="AW33" i="38"/>
  <c r="D34" i="38"/>
  <c r="AG43" i="38"/>
  <c r="AF42" i="38"/>
  <c r="E36" i="38"/>
  <c r="F42" i="38"/>
  <c r="AA34" i="38"/>
  <c r="AJ33" i="38"/>
  <c r="N35" i="38"/>
  <c r="AF41" i="38"/>
  <c r="AI37" i="38"/>
  <c r="AM41" i="38"/>
  <c r="AS34" i="38"/>
  <c r="C36" i="38"/>
  <c r="M35" i="38"/>
  <c r="M43" i="38"/>
  <c r="D40" i="38"/>
  <c r="B37" i="38"/>
  <c r="D35" i="38"/>
  <c r="O33" i="38"/>
  <c r="AA41" i="38"/>
  <c r="N36" i="38"/>
  <c r="AB38" i="38"/>
  <c r="AJ40" i="38"/>
  <c r="I36" i="38"/>
  <c r="L39" i="38"/>
  <c r="AA38" i="38"/>
  <c r="AD43" i="38"/>
  <c r="AJ37" i="38"/>
  <c r="H33" i="38"/>
  <c r="K36" i="38"/>
  <c r="N39" i="38"/>
  <c r="Z35" i="38"/>
  <c r="AC40" i="38"/>
  <c r="AI34" i="38"/>
  <c r="E34" i="38"/>
  <c r="H40" i="38"/>
  <c r="K43" i="38"/>
  <c r="Q36" i="38"/>
  <c r="Z42" i="38"/>
  <c r="AF36" i="38"/>
  <c r="AI41" i="38"/>
  <c r="V35" i="38"/>
  <c r="AM39" i="38"/>
  <c r="AL33" i="38"/>
  <c r="AX33" i="38"/>
  <c r="AZ75" i="38" s="1"/>
  <c r="AL41" i="38"/>
  <c r="AG39" i="38"/>
  <c r="AE36" i="38"/>
  <c r="R38" i="38"/>
  <c r="O39" i="38"/>
  <c r="AM40" i="38"/>
  <c r="N37" i="38"/>
  <c r="P33" i="38"/>
  <c r="AE41" i="38"/>
  <c r="R35" i="38"/>
  <c r="L35" i="38"/>
  <c r="E39" i="38"/>
  <c r="AC36" i="38"/>
  <c r="H36" i="38"/>
  <c r="Z38" i="38"/>
  <c r="AL43" i="38"/>
  <c r="B36" i="38"/>
  <c r="C37" i="38"/>
  <c r="D39" i="38"/>
  <c r="R39" i="38"/>
  <c r="AE35" i="38"/>
  <c r="AA33" i="38"/>
  <c r="AD38" i="38"/>
  <c r="AK41" i="38"/>
  <c r="J37" i="38"/>
  <c r="M40" i="38"/>
  <c r="S33" i="38"/>
  <c r="AB39" i="38"/>
  <c r="AH33" i="38"/>
  <c r="AK38" i="38"/>
  <c r="I34" i="38"/>
  <c r="L37" i="38"/>
  <c r="AA36" i="38"/>
  <c r="AD41" i="38"/>
  <c r="AJ35" i="38"/>
  <c r="F35" i="38"/>
  <c r="I41" i="38"/>
  <c r="L44" i="38"/>
  <c r="R37" i="38"/>
  <c r="AA43" i="38"/>
  <c r="AG37" i="38"/>
  <c r="AJ42" i="38"/>
  <c r="AL34" i="38"/>
  <c r="AL42" i="38"/>
  <c r="AM34" i="38"/>
  <c r="AN44" i="38"/>
  <c r="AN45" i="38"/>
  <c r="AM43" i="38"/>
  <c r="AL45" i="38"/>
  <c r="AM44" i="38"/>
  <c r="AM45" i="38"/>
  <c r="AL44" i="38"/>
  <c r="H47" i="38"/>
  <c r="I47" i="38"/>
  <c r="H46" i="38"/>
  <c r="J46" i="38"/>
  <c r="J47" i="38"/>
  <c r="I46" i="38"/>
  <c r="AH44" i="38"/>
  <c r="AG44" i="38"/>
  <c r="AF44" i="38"/>
  <c r="AE44" i="38"/>
  <c r="AC44" i="38"/>
  <c r="AD44" i="38"/>
  <c r="AJ44" i="38"/>
  <c r="AI44" i="38"/>
  <c r="AB44" i="38"/>
  <c r="AA44" i="38"/>
  <c r="Z44" i="38"/>
  <c r="AK44" i="38"/>
  <c r="AV35" i="38"/>
  <c r="AU35" i="38"/>
  <c r="AV79" i="38" s="1"/>
  <c r="AW35" i="38"/>
  <c r="V41" i="38"/>
  <c r="V45" i="38"/>
  <c r="U43" i="38"/>
  <c r="T43" i="38"/>
  <c r="U41" i="38"/>
  <c r="V42" i="38"/>
  <c r="U44" i="38"/>
  <c r="T44" i="38"/>
  <c r="V43" i="38"/>
  <c r="T45" i="38"/>
  <c r="V44" i="38"/>
  <c r="U42" i="38"/>
  <c r="T42" i="38"/>
  <c r="U45" i="38"/>
  <c r="U40" i="38"/>
  <c r="T39" i="38"/>
  <c r="V37" i="38"/>
  <c r="U36" i="38"/>
  <c r="T40" i="38"/>
  <c r="V38" i="38"/>
  <c r="U37" i="38"/>
  <c r="T36" i="38"/>
  <c r="T41" i="38"/>
  <c r="T37" i="38"/>
  <c r="V40" i="38"/>
  <c r="U39" i="38"/>
  <c r="T38" i="38"/>
  <c r="V36" i="38"/>
  <c r="V39" i="38"/>
  <c r="U38" i="38"/>
  <c r="AY93" i="38"/>
  <c r="AW93" i="38"/>
  <c r="AV93" i="38"/>
  <c r="AV94" i="38"/>
  <c r="AW94" i="38"/>
  <c r="AZ77" i="38"/>
  <c r="AY73" i="38"/>
  <c r="AY64" i="38"/>
  <c r="AY90" i="38" s="1"/>
  <c r="AY67" i="38"/>
  <c r="AY91" i="38" s="1"/>
  <c r="AZ73" i="38"/>
  <c r="AY77" i="38"/>
  <c r="AY74" i="38"/>
  <c r="AY69" i="38"/>
  <c r="AY81" i="38"/>
  <c r="AY80" i="38"/>
  <c r="AZ58" i="38"/>
  <c r="AZ60" i="38" s="1"/>
  <c r="AP71" i="38"/>
  <c r="AQ70" i="38"/>
  <c r="AQ92" i="38" s="1"/>
  <c r="AQ72" i="38"/>
  <c r="AP79" i="38"/>
  <c r="AP80" i="38" s="1"/>
  <c r="AQ79" i="38"/>
  <c r="AQ95" i="38" s="1"/>
  <c r="AP72" i="38"/>
  <c r="AP70" i="38"/>
  <c r="AP92" i="38" s="1"/>
  <c r="P25" i="43"/>
  <c r="BG9" i="38"/>
  <c r="AY79" i="38" l="1"/>
  <c r="AY95" i="38" s="1"/>
  <c r="AY78" i="38"/>
  <c r="AZ81" i="38"/>
  <c r="AY58" i="38"/>
  <c r="AY88" i="38" s="1"/>
  <c r="AZ78" i="38"/>
  <c r="AZ79" i="38"/>
  <c r="AZ95" i="38" s="1"/>
  <c r="AZ70" i="38"/>
  <c r="AZ92" i="38" s="1"/>
  <c r="AZ68" i="38"/>
  <c r="AW76" i="38"/>
  <c r="AM78" i="38"/>
  <c r="AZ69" i="38"/>
  <c r="AZ76" i="38"/>
  <c r="AY61" i="38"/>
  <c r="AY89" i="38" s="1"/>
  <c r="AY68" i="38"/>
  <c r="AY75" i="38"/>
  <c r="AY76" i="38"/>
  <c r="AZ61" i="38"/>
  <c r="AZ89" i="38" s="1"/>
  <c r="AZ67" i="38"/>
  <c r="AZ91" i="38" s="1"/>
  <c r="AZ64" i="38"/>
  <c r="AZ90" i="38" s="1"/>
  <c r="AY72" i="38"/>
  <c r="AY60" i="38"/>
  <c r="AZ74" i="38"/>
  <c r="AY70" i="38"/>
  <c r="AY92" i="38" s="1"/>
  <c r="AN67" i="38"/>
  <c r="AN91" i="38" s="1"/>
  <c r="AT77" i="38"/>
  <c r="AM58" i="38"/>
  <c r="AM88" i="38" s="1"/>
  <c r="AW77" i="38"/>
  <c r="AN71" i="38"/>
  <c r="AV74" i="38"/>
  <c r="AW74" i="38"/>
  <c r="AV70" i="38"/>
  <c r="AV92" i="38" s="1"/>
  <c r="AN64" i="38"/>
  <c r="AN90" i="38" s="1"/>
  <c r="AW72" i="38"/>
  <c r="AM71" i="38"/>
  <c r="AW70" i="38"/>
  <c r="AW92" i="38" s="1"/>
  <c r="AV61" i="38"/>
  <c r="AV89" i="38" s="1"/>
  <c r="AS76" i="38"/>
  <c r="AT76" i="38"/>
  <c r="O58" i="38"/>
  <c r="O60" i="38" s="1"/>
  <c r="AM76" i="38"/>
  <c r="AS79" i="38"/>
  <c r="AS80" i="38" s="1"/>
  <c r="AW69" i="38"/>
  <c r="AW73" i="38"/>
  <c r="AM61" i="38"/>
  <c r="AM89" i="38" s="1"/>
  <c r="AM67" i="38"/>
  <c r="AM91" i="38" s="1"/>
  <c r="AT79" i="38"/>
  <c r="AT95" i="38" s="1"/>
  <c r="AM75" i="38"/>
  <c r="AM69" i="38"/>
  <c r="AM66" i="38"/>
  <c r="AW61" i="38"/>
  <c r="AW89" i="38" s="1"/>
  <c r="AN73" i="38"/>
  <c r="AN72" i="38"/>
  <c r="AM77" i="38"/>
  <c r="AN74" i="38"/>
  <c r="AM68" i="38"/>
  <c r="AM64" i="38"/>
  <c r="AM90" i="38" s="1"/>
  <c r="AN76" i="38"/>
  <c r="AV67" i="38"/>
  <c r="AV91" i="38" s="1"/>
  <c r="AV64" i="38"/>
  <c r="AV90" i="38" s="1"/>
  <c r="AN65" i="38"/>
  <c r="AM74" i="38"/>
  <c r="AN79" i="38"/>
  <c r="AN95" i="38" s="1"/>
  <c r="AN78" i="38"/>
  <c r="AN68" i="38"/>
  <c r="AN70" i="38"/>
  <c r="AN92" i="38" s="1"/>
  <c r="AS58" i="38"/>
  <c r="AS88" i="38" s="1"/>
  <c r="AW58" i="38"/>
  <c r="AW88" i="38" s="1"/>
  <c r="AN77" i="38"/>
  <c r="AM79" i="38"/>
  <c r="AM95" i="38" s="1"/>
  <c r="AN58" i="38"/>
  <c r="AN88" i="38" s="1"/>
  <c r="AS77" i="38"/>
  <c r="AV58" i="38"/>
  <c r="AV59" i="38" s="1"/>
  <c r="AM72" i="38"/>
  <c r="AT78" i="38"/>
  <c r="AM65" i="38"/>
  <c r="AT58" i="38"/>
  <c r="AT88" i="38" s="1"/>
  <c r="AM70" i="38"/>
  <c r="AM92" i="38" s="1"/>
  <c r="AN61" i="38"/>
  <c r="AN89" i="38" s="1"/>
  <c r="AN69" i="38"/>
  <c r="AS78" i="38"/>
  <c r="AM62" i="38"/>
  <c r="AN75" i="38"/>
  <c r="AM63" i="38"/>
  <c r="AV80" i="38"/>
  <c r="AM73" i="38"/>
  <c r="AN66" i="38"/>
  <c r="AY71" i="38"/>
  <c r="AV72" i="38"/>
  <c r="AZ72" i="38"/>
  <c r="AV71" i="38"/>
  <c r="AZ71" i="38"/>
  <c r="AN62" i="38"/>
  <c r="AN63" i="38"/>
  <c r="U74" i="38"/>
  <c r="AW64" i="38"/>
  <c r="AW90" i="38" s="1"/>
  <c r="AV73" i="38"/>
  <c r="AW67" i="38"/>
  <c r="AW91" i="38" s="1"/>
  <c r="AU69" i="38" s="1"/>
  <c r="AV76" i="38"/>
  <c r="V61" i="38"/>
  <c r="V89" i="38" s="1"/>
  <c r="U67" i="38"/>
  <c r="U91" i="38" s="1"/>
  <c r="V67" i="38"/>
  <c r="V91" i="38" s="1"/>
  <c r="U58" i="38"/>
  <c r="U60" i="38" s="1"/>
  <c r="V58" i="38"/>
  <c r="V88" i="38" s="1"/>
  <c r="AW78" i="38"/>
  <c r="U70" i="38"/>
  <c r="U71" i="38" s="1"/>
  <c r="U79" i="38"/>
  <c r="U81" i="38" s="1"/>
  <c r="AW59" i="38"/>
  <c r="AW71" i="38"/>
  <c r="AW68" i="38"/>
  <c r="AV68" i="38"/>
  <c r="AW81" i="38"/>
  <c r="AV77" i="38"/>
  <c r="AV75" i="38"/>
  <c r="AW79" i="38"/>
  <c r="AW95" i="38" s="1"/>
  <c r="V76" i="38"/>
  <c r="V70" i="38"/>
  <c r="V72" i="38" s="1"/>
  <c r="U76" i="38"/>
  <c r="U77" i="38"/>
  <c r="V74" i="38"/>
  <c r="V64" i="38"/>
  <c r="V90" i="38" s="1"/>
  <c r="U61" i="38"/>
  <c r="U89" i="38" s="1"/>
  <c r="AV63" i="38"/>
  <c r="AW75" i="38"/>
  <c r="AV78" i="38"/>
  <c r="AV69" i="38"/>
  <c r="V78" i="38"/>
  <c r="U75" i="38"/>
  <c r="V77" i="38"/>
  <c r="V79" i="38"/>
  <c r="V80" i="38" s="1"/>
  <c r="U78" i="38"/>
  <c r="V73" i="38"/>
  <c r="U73" i="38"/>
  <c r="V75" i="38"/>
  <c r="U64" i="38"/>
  <c r="U90" i="38" s="1"/>
  <c r="AZ66" i="38"/>
  <c r="AY66" i="38"/>
  <c r="AW65" i="38"/>
  <c r="AV65" i="38"/>
  <c r="AY65" i="38"/>
  <c r="AW62" i="38"/>
  <c r="AX66" i="38"/>
  <c r="AW66" i="38"/>
  <c r="AU66" i="38" s="1"/>
  <c r="AV66" i="38"/>
  <c r="AZ65" i="38"/>
  <c r="AY62" i="38"/>
  <c r="AZ62" i="38"/>
  <c r="AZ63" i="38"/>
  <c r="AW63" i="38"/>
  <c r="AU63" i="38" s="1"/>
  <c r="AY63" i="38"/>
  <c r="AV62" i="38"/>
  <c r="AZ59" i="38"/>
  <c r="AY59" i="38"/>
  <c r="AM59" i="38"/>
  <c r="AN60" i="38"/>
  <c r="AL60" i="38" s="1"/>
  <c r="AM60" i="38"/>
  <c r="AN59" i="38"/>
  <c r="AX69" i="38"/>
  <c r="AV81" i="38"/>
  <c r="AV95" i="38"/>
  <c r="AL69" i="38"/>
  <c r="AZ88" i="38"/>
  <c r="AX60" i="38" s="1"/>
  <c r="AV60" i="38"/>
  <c r="U62" i="38"/>
  <c r="AL63" i="38"/>
  <c r="AL66" i="38"/>
  <c r="AT60" i="38"/>
  <c r="AR60" i="38" s="1"/>
  <c r="AS59" i="38"/>
  <c r="AV88" i="38"/>
  <c r="AS60" i="38"/>
  <c r="AT59" i="38"/>
  <c r="AW60" i="38"/>
  <c r="AQ81" i="38"/>
  <c r="AP81" i="38"/>
  <c r="AP95" i="38"/>
  <c r="AS81" i="38"/>
  <c r="AS95" i="38"/>
  <c r="V71" i="38"/>
  <c r="V92" i="38"/>
  <c r="V66" i="38"/>
  <c r="V63" i="38"/>
  <c r="O59" i="38"/>
  <c r="P49" i="38"/>
  <c r="M56" i="38"/>
  <c r="L56" i="38"/>
  <c r="K56" i="38"/>
  <c r="M55" i="38"/>
  <c r="L55" i="38"/>
  <c r="K55" i="38"/>
  <c r="M54" i="38"/>
  <c r="L54" i="38"/>
  <c r="K54" i="38"/>
  <c r="M53" i="38"/>
  <c r="L53" i="38"/>
  <c r="K53" i="38"/>
  <c r="M52" i="38"/>
  <c r="L52" i="38"/>
  <c r="K52" i="38"/>
  <c r="M51" i="38"/>
  <c r="L51" i="38"/>
  <c r="K51" i="38"/>
  <c r="M50" i="38"/>
  <c r="L50" i="38"/>
  <c r="K50" i="38"/>
  <c r="M49" i="38"/>
  <c r="L49" i="38"/>
  <c r="K49" i="38"/>
  <c r="M48" i="38"/>
  <c r="L48" i="38"/>
  <c r="K48" i="38"/>
  <c r="AT81" i="38" l="1"/>
  <c r="AM81" i="38"/>
  <c r="AM80" i="38"/>
  <c r="AN81" i="38"/>
  <c r="U92" i="38"/>
  <c r="T71" i="38" s="1"/>
  <c r="U72" i="38"/>
  <c r="U69" i="38"/>
  <c r="U68" i="38"/>
  <c r="V68" i="38"/>
  <c r="T68" i="38" s="1"/>
  <c r="V69" i="38"/>
  <c r="U66" i="38"/>
  <c r="U65" i="38"/>
  <c r="V65" i="38"/>
  <c r="V62" i="38"/>
  <c r="U63" i="38"/>
  <c r="V59" i="38"/>
  <c r="V60" i="38"/>
  <c r="U59" i="38"/>
  <c r="U88" i="38"/>
  <c r="T60" i="38" s="1"/>
  <c r="U80" i="38"/>
  <c r="V81" i="38"/>
  <c r="AX63" i="38"/>
  <c r="T69" i="38"/>
  <c r="T66" i="38"/>
  <c r="T63" i="38"/>
  <c r="AU60" i="38"/>
  <c r="T72" i="38"/>
  <c r="AC45" i="38"/>
  <c r="AC46" i="38"/>
  <c r="AC47" i="38"/>
  <c r="AC48" i="38"/>
  <c r="AC49" i="38"/>
  <c r="AC50" i="38"/>
  <c r="AC51" i="38"/>
  <c r="AC52" i="38"/>
  <c r="AC53" i="38"/>
  <c r="AC54" i="38"/>
  <c r="AC55" i="38"/>
  <c r="AC56" i="38"/>
  <c r="B54" i="38"/>
  <c r="B55" i="38"/>
  <c r="B56" i="38"/>
  <c r="H33" i="42"/>
  <c r="AF45" i="38"/>
  <c r="AF46" i="38"/>
  <c r="AF47" i="38"/>
  <c r="AF48" i="38"/>
  <c r="AF49" i="38"/>
  <c r="AF50" i="38"/>
  <c r="AF51" i="38"/>
  <c r="AF52" i="38"/>
  <c r="AF53" i="38"/>
  <c r="AF54" i="38"/>
  <c r="AF55" i="38"/>
  <c r="AF56" i="38"/>
  <c r="AF73" i="38"/>
  <c r="W33" i="38"/>
  <c r="W38" i="38"/>
  <c r="W39" i="38"/>
  <c r="W40" i="38"/>
  <c r="W41" i="38"/>
  <c r="W42" i="38"/>
  <c r="W43" i="38"/>
  <c r="W44" i="38"/>
  <c r="W45" i="38"/>
  <c r="W46" i="38"/>
  <c r="W47" i="38"/>
  <c r="W48" i="38"/>
  <c r="W49" i="38"/>
  <c r="W50" i="38"/>
  <c r="W51" i="38"/>
  <c r="W52" i="38"/>
  <c r="W53" i="38"/>
  <c r="W54" i="38"/>
  <c r="W55" i="38"/>
  <c r="W56" i="38"/>
  <c r="AD45" i="38"/>
  <c r="AE45" i="38"/>
  <c r="AD46" i="38"/>
  <c r="AE46" i="38"/>
  <c r="AD47" i="38"/>
  <c r="AE47" i="38"/>
  <c r="AD48" i="38"/>
  <c r="AE48" i="38"/>
  <c r="AD49" i="38"/>
  <c r="AE49" i="38"/>
  <c r="AD50" i="38"/>
  <c r="AE50" i="38"/>
  <c r="AD51" i="38"/>
  <c r="AE51" i="38"/>
  <c r="AD52" i="38"/>
  <c r="AE52" i="38"/>
  <c r="AD53" i="38"/>
  <c r="AE53" i="38"/>
  <c r="AD54" i="38"/>
  <c r="AE54" i="38"/>
  <c r="AD55" i="38"/>
  <c r="AE55" i="38"/>
  <c r="AD56" i="38"/>
  <c r="AE56" i="38"/>
  <c r="AC79" i="38"/>
  <c r="Z45" i="38"/>
  <c r="Z46" i="38"/>
  <c r="Z47" i="38"/>
  <c r="Z48" i="38"/>
  <c r="Z49" i="38"/>
  <c r="Z50" i="38"/>
  <c r="Z51" i="38"/>
  <c r="Z52" i="38"/>
  <c r="Z53" i="38"/>
  <c r="Z54" i="38"/>
  <c r="Z55" i="38"/>
  <c r="Z56" i="38"/>
  <c r="AA45" i="38"/>
  <c r="AB45" i="38"/>
  <c r="AA46" i="38"/>
  <c r="AB46" i="38"/>
  <c r="AA47" i="38"/>
  <c r="AB47" i="38"/>
  <c r="AA48" i="38"/>
  <c r="AB48" i="38"/>
  <c r="AA49" i="38"/>
  <c r="AB49" i="38"/>
  <c r="AA50" i="38"/>
  <c r="AB50" i="38"/>
  <c r="AA51" i="38"/>
  <c r="AB51" i="38"/>
  <c r="AA52" i="38"/>
  <c r="AB52" i="38"/>
  <c r="AA53" i="38"/>
  <c r="AB53" i="38"/>
  <c r="AA54" i="38"/>
  <c r="AB54" i="38"/>
  <c r="AA55" i="38"/>
  <c r="AB55" i="38"/>
  <c r="AA56" i="38"/>
  <c r="AB56" i="38"/>
  <c r="Y37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R43" i="38"/>
  <c r="S43" i="38"/>
  <c r="R44" i="38"/>
  <c r="S44" i="38"/>
  <c r="R45" i="38"/>
  <c r="S45" i="38"/>
  <c r="R46" i="38"/>
  <c r="S46" i="38"/>
  <c r="R47" i="38"/>
  <c r="S47" i="38"/>
  <c r="R48" i="38"/>
  <c r="S48" i="38"/>
  <c r="R49" i="38"/>
  <c r="S49" i="38"/>
  <c r="R50" i="38"/>
  <c r="S50" i="38"/>
  <c r="R51" i="38"/>
  <c r="S51" i="38"/>
  <c r="R52" i="38"/>
  <c r="S52" i="38"/>
  <c r="R53" i="38"/>
  <c r="S53" i="38"/>
  <c r="R54" i="38"/>
  <c r="S54" i="38"/>
  <c r="R55" i="38"/>
  <c r="S55" i="38"/>
  <c r="R56" i="38"/>
  <c r="S56" i="38"/>
  <c r="O43" i="38"/>
  <c r="P43" i="38"/>
  <c r="O44" i="38"/>
  <c r="P44" i="38"/>
  <c r="O45" i="38"/>
  <c r="P45" i="38"/>
  <c r="O46" i="38"/>
  <c r="P46" i="38"/>
  <c r="O47" i="38"/>
  <c r="P47" i="38"/>
  <c r="O48" i="38"/>
  <c r="P48" i="38"/>
  <c r="O49" i="38"/>
  <c r="O50" i="38"/>
  <c r="P50" i="38"/>
  <c r="O51" i="38"/>
  <c r="P51" i="38"/>
  <c r="O52" i="38"/>
  <c r="P52" i="38"/>
  <c r="O53" i="38"/>
  <c r="P53" i="38"/>
  <c r="O54" i="38"/>
  <c r="P54" i="38"/>
  <c r="O55" i="38"/>
  <c r="P55" i="38"/>
  <c r="O56" i="38"/>
  <c r="P56" i="38"/>
  <c r="C51" i="38"/>
  <c r="D51" i="38"/>
  <c r="C52" i="38"/>
  <c r="D52" i="38"/>
  <c r="C53" i="38"/>
  <c r="D53" i="38"/>
  <c r="C54" i="38"/>
  <c r="D54" i="38"/>
  <c r="C55" i="38"/>
  <c r="D55" i="38"/>
  <c r="C56" i="38"/>
  <c r="D56" i="38"/>
  <c r="X48" i="38"/>
  <c r="Y48" i="38"/>
  <c r="X49" i="38"/>
  <c r="Y49" i="38"/>
  <c r="X50" i="38"/>
  <c r="Y50" i="38"/>
  <c r="X51" i="38"/>
  <c r="Y51" i="38"/>
  <c r="X52" i="38"/>
  <c r="Y52" i="38"/>
  <c r="X53" i="38"/>
  <c r="Y53" i="38"/>
  <c r="X54" i="38"/>
  <c r="Y54" i="38"/>
  <c r="X55" i="38"/>
  <c r="Y55" i="38"/>
  <c r="X56" i="38"/>
  <c r="Y56" i="38"/>
  <c r="AI45" i="38"/>
  <c r="AI46" i="38"/>
  <c r="AI47" i="38"/>
  <c r="AI48" i="38"/>
  <c r="AI49" i="38"/>
  <c r="AI50" i="38"/>
  <c r="AI51" i="38"/>
  <c r="AI52" i="38"/>
  <c r="AI53" i="38"/>
  <c r="AI54" i="38"/>
  <c r="AI55" i="38"/>
  <c r="AI56" i="38"/>
  <c r="AJ45" i="38"/>
  <c r="AK45" i="38"/>
  <c r="AJ46" i="38"/>
  <c r="AK46" i="38"/>
  <c r="AJ47" i="38"/>
  <c r="AK47" i="38"/>
  <c r="AJ48" i="38"/>
  <c r="AK48" i="38"/>
  <c r="AJ49" i="38"/>
  <c r="AK49" i="38"/>
  <c r="AJ50" i="38"/>
  <c r="AK50" i="38"/>
  <c r="AJ51" i="38"/>
  <c r="AK51" i="38"/>
  <c r="AJ52" i="38"/>
  <c r="AK52" i="38"/>
  <c r="AJ53" i="38"/>
  <c r="AK53" i="38"/>
  <c r="AJ54" i="38"/>
  <c r="AK54" i="38"/>
  <c r="AJ55" i="38"/>
  <c r="AK55" i="38"/>
  <c r="AJ56" i="38"/>
  <c r="AK56" i="38"/>
  <c r="H50" i="38"/>
  <c r="H51" i="38"/>
  <c r="H52" i="38"/>
  <c r="H53" i="38"/>
  <c r="H54" i="38"/>
  <c r="H55" i="38"/>
  <c r="H56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F43" i="38"/>
  <c r="G43" i="38"/>
  <c r="F44" i="38"/>
  <c r="G44" i="38"/>
  <c r="F45" i="38"/>
  <c r="G45" i="38"/>
  <c r="F46" i="38"/>
  <c r="G46" i="38"/>
  <c r="F47" i="38"/>
  <c r="G47" i="38"/>
  <c r="F48" i="38"/>
  <c r="G48" i="38"/>
  <c r="F49" i="38"/>
  <c r="G49" i="38"/>
  <c r="F50" i="38"/>
  <c r="G50" i="38"/>
  <c r="F51" i="38"/>
  <c r="G51" i="38"/>
  <c r="F52" i="38"/>
  <c r="G52" i="38"/>
  <c r="F53" i="38"/>
  <c r="G53" i="38"/>
  <c r="F54" i="38"/>
  <c r="G54" i="38"/>
  <c r="F55" i="38"/>
  <c r="G55" i="38"/>
  <c r="F56" i="38"/>
  <c r="G56" i="38"/>
  <c r="AH56" i="38"/>
  <c r="AG56" i="38"/>
  <c r="J56" i="38"/>
  <c r="I56" i="38"/>
  <c r="AH55" i="38"/>
  <c r="AG55" i="38"/>
  <c r="J55" i="38"/>
  <c r="I55" i="38"/>
  <c r="AH54" i="38"/>
  <c r="AG54" i="38"/>
  <c r="J54" i="38"/>
  <c r="I54" i="38"/>
  <c r="AH53" i="38"/>
  <c r="AG53" i="38"/>
  <c r="J53" i="38"/>
  <c r="I53" i="38"/>
  <c r="AH52" i="38"/>
  <c r="AG52" i="38"/>
  <c r="J52" i="38"/>
  <c r="I52" i="38"/>
  <c r="AH51" i="38"/>
  <c r="AG51" i="38"/>
  <c r="J51" i="38"/>
  <c r="I51" i="38"/>
  <c r="AH50" i="38"/>
  <c r="AG50" i="38"/>
  <c r="J50" i="38"/>
  <c r="I50" i="38"/>
  <c r="AH49" i="38"/>
  <c r="AG49" i="38"/>
  <c r="J49" i="38"/>
  <c r="I49" i="38"/>
  <c r="AH48" i="38"/>
  <c r="AG48" i="38"/>
  <c r="J48" i="38"/>
  <c r="I48" i="38"/>
  <c r="AH47" i="38"/>
  <c r="AG47" i="38"/>
  <c r="Y47" i="38"/>
  <c r="X47" i="38"/>
  <c r="AH46" i="38"/>
  <c r="AG46" i="38"/>
  <c r="Y46" i="38"/>
  <c r="X46" i="38"/>
  <c r="AH45" i="38"/>
  <c r="AG45" i="38"/>
  <c r="Y45" i="38"/>
  <c r="X45" i="38"/>
  <c r="Y44" i="38"/>
  <c r="X44" i="38"/>
  <c r="Y43" i="38"/>
  <c r="X43" i="38"/>
  <c r="X41" i="38"/>
  <c r="Y40" i="38"/>
  <c r="Y38" i="38"/>
  <c r="X38" i="38"/>
  <c r="X39" i="38"/>
  <c r="Y39" i="38"/>
  <c r="X40" i="38"/>
  <c r="Y41" i="38"/>
  <c r="X42" i="38"/>
  <c r="Y42" i="38"/>
  <c r="T65" i="38" l="1"/>
  <c r="G58" i="38"/>
  <c r="G60" i="38" s="1"/>
  <c r="F58" i="38"/>
  <c r="F59" i="38" s="1"/>
  <c r="AK74" i="38"/>
  <c r="AJ76" i="38"/>
  <c r="AJ64" i="38"/>
  <c r="AJ65" i="38" s="1"/>
  <c r="AK64" i="38"/>
  <c r="AK65" i="38" s="1"/>
  <c r="AJ75" i="38"/>
  <c r="AJ70" i="38"/>
  <c r="AJ71" i="38" s="1"/>
  <c r="AJ78" i="38"/>
  <c r="AJ74" i="38"/>
  <c r="AJ61" i="38"/>
  <c r="AJ63" i="38" s="1"/>
  <c r="AK61" i="38"/>
  <c r="AK62" i="38" s="1"/>
  <c r="AJ73" i="38"/>
  <c r="AJ67" i="38"/>
  <c r="AJ69" i="38" s="1"/>
  <c r="AK79" i="38"/>
  <c r="AK81" i="38" s="1"/>
  <c r="AK75" i="38"/>
  <c r="AK67" i="38"/>
  <c r="AK68" i="38" s="1"/>
  <c r="AK58" i="38"/>
  <c r="AK59" i="38" s="1"/>
  <c r="AJ79" i="38"/>
  <c r="AJ80" i="38" s="1"/>
  <c r="AK73" i="38"/>
  <c r="AK70" i="38"/>
  <c r="AK72" i="38" s="1"/>
  <c r="AJ77" i="38"/>
  <c r="AK76" i="38"/>
  <c r="AK77" i="38"/>
  <c r="AJ58" i="38"/>
  <c r="AJ59" i="38" s="1"/>
  <c r="AK78" i="38"/>
  <c r="X34" i="38"/>
  <c r="Y36" i="38"/>
  <c r="X33" i="38"/>
  <c r="W37" i="38"/>
  <c r="X36" i="38"/>
  <c r="Y35" i="38"/>
  <c r="W34" i="38"/>
  <c r="K73" i="38"/>
  <c r="AO73" i="38" s="1"/>
  <c r="W73" i="38"/>
  <c r="N73" i="38"/>
  <c r="AR73" i="38" s="1"/>
  <c r="B93" i="38"/>
  <c r="Z73" i="38"/>
  <c r="J33" i="42"/>
  <c r="K33" i="42"/>
  <c r="B90" i="38"/>
  <c r="W61" i="38"/>
  <c r="M47" i="38"/>
  <c r="K47" i="38"/>
  <c r="L47" i="38"/>
  <c r="X35" i="38"/>
  <c r="B95" i="38"/>
  <c r="Y33" i="38"/>
  <c r="X37" i="38"/>
  <c r="W35" i="38"/>
  <c r="Y34" i="38"/>
  <c r="W36" i="38"/>
  <c r="L46" i="38"/>
  <c r="K46" i="38"/>
  <c r="M46" i="38"/>
  <c r="AF58" i="38"/>
  <c r="B88" i="38"/>
  <c r="AC73" i="38"/>
  <c r="B89" i="38"/>
  <c r="Z58" i="38"/>
  <c r="AA58" i="38" s="1"/>
  <c r="AC61" i="38"/>
  <c r="AC76" i="38"/>
  <c r="B91" i="38"/>
  <c r="K76" i="38"/>
  <c r="AO76" i="38" s="1"/>
  <c r="W67" i="38"/>
  <c r="Z67" i="38"/>
  <c r="AF67" i="38"/>
  <c r="B92" i="38"/>
  <c r="AC70" i="38"/>
  <c r="AF70" i="38"/>
  <c r="N70" i="38"/>
  <c r="AR70" i="38" s="1"/>
  <c r="Z70" i="38"/>
  <c r="W70" i="38"/>
  <c r="AC67" i="38"/>
  <c r="AF76" i="38"/>
  <c r="W76" i="38"/>
  <c r="Z76" i="38"/>
  <c r="B94" i="38"/>
  <c r="AC58" i="38"/>
  <c r="W58" i="38"/>
  <c r="N61" i="38"/>
  <c r="AF61" i="38"/>
  <c r="Z61" i="38"/>
  <c r="N64" i="38"/>
  <c r="AR64" i="38" s="1"/>
  <c r="W64" i="38"/>
  <c r="N67" i="38"/>
  <c r="AR67" i="38" s="1"/>
  <c r="AF79" i="38"/>
  <c r="Z79" i="38"/>
  <c r="W79" i="38"/>
  <c r="AC64" i="38"/>
  <c r="AF64" i="38"/>
  <c r="G59" i="38" l="1"/>
  <c r="F60" i="38"/>
  <c r="AQ94" i="38"/>
  <c r="AQ77" i="38"/>
  <c r="AQ76" i="38"/>
  <c r="AQ78" i="38"/>
  <c r="AP94" i="38"/>
  <c r="AP76" i="38"/>
  <c r="AP78" i="38"/>
  <c r="AP77" i="38"/>
  <c r="AS67" i="38"/>
  <c r="AS91" i="38" s="1"/>
  <c r="AT67" i="38"/>
  <c r="AT91" i="38" s="1"/>
  <c r="AS68" i="38"/>
  <c r="AS69" i="38"/>
  <c r="AT68" i="38"/>
  <c r="AT69" i="38"/>
  <c r="O61" i="38"/>
  <c r="O89" i="38" s="1"/>
  <c r="AR61" i="38"/>
  <c r="AQ93" i="38"/>
  <c r="AP93" i="38"/>
  <c r="AP74" i="38"/>
  <c r="AP75" i="38"/>
  <c r="AP73" i="38"/>
  <c r="AQ74" i="38"/>
  <c r="AQ73" i="38"/>
  <c r="AQ75" i="38"/>
  <c r="AS64" i="38"/>
  <c r="AS90" i="38" s="1"/>
  <c r="AT64" i="38"/>
  <c r="AT90" i="38" s="1"/>
  <c r="AS70" i="38"/>
  <c r="AS92" i="38" s="1"/>
  <c r="AS71" i="38"/>
  <c r="AT70" i="38"/>
  <c r="AT92" i="38" s="1"/>
  <c r="AT93" i="38"/>
  <c r="AS75" i="38"/>
  <c r="AS74" i="38"/>
  <c r="AT74" i="38"/>
  <c r="AT73" i="38"/>
  <c r="AS93" i="38"/>
  <c r="AS73" i="38"/>
  <c r="AT75" i="38"/>
  <c r="AJ66" i="38"/>
  <c r="C58" i="38"/>
  <c r="C88" i="38" s="1"/>
  <c r="AJ72" i="38"/>
  <c r="AK71" i="38"/>
  <c r="AK69" i="38"/>
  <c r="AJ62" i="38"/>
  <c r="AK66" i="38"/>
  <c r="AJ60" i="38"/>
  <c r="AJ81" i="38"/>
  <c r="AK60" i="38"/>
  <c r="AJ68" i="38"/>
  <c r="AK63" i="38"/>
  <c r="R61" i="38"/>
  <c r="R89" i="38" s="1"/>
  <c r="S58" i="38"/>
  <c r="S88" i="38" s="1"/>
  <c r="S74" i="38"/>
  <c r="Q74" i="38" s="1"/>
  <c r="S77" i="38"/>
  <c r="Q77" i="38" s="1"/>
  <c r="S73" i="38"/>
  <c r="R76" i="38"/>
  <c r="R73" i="38"/>
  <c r="S70" i="38"/>
  <c r="S92" i="38" s="1"/>
  <c r="R64" i="38"/>
  <c r="R90" i="38" s="1"/>
  <c r="S61" i="38"/>
  <c r="S89" i="38" s="1"/>
  <c r="S79" i="38"/>
  <c r="S95" i="38" s="1"/>
  <c r="R77" i="38"/>
  <c r="R67" i="38"/>
  <c r="R91" i="38" s="1"/>
  <c r="S75" i="38"/>
  <c r="Q75" i="38" s="1"/>
  <c r="S76" i="38"/>
  <c r="R70" i="38"/>
  <c r="R92" i="38" s="1"/>
  <c r="R78" i="38"/>
  <c r="S64" i="38"/>
  <c r="S90" i="38" s="1"/>
  <c r="R75" i="38"/>
  <c r="R58" i="38"/>
  <c r="R88" i="38" s="1"/>
  <c r="R74" i="38"/>
  <c r="S78" i="38"/>
  <c r="Q78" i="38" s="1"/>
  <c r="R79" i="38"/>
  <c r="R95" i="38" s="1"/>
  <c r="S67" i="38"/>
  <c r="S91" i="38" s="1"/>
  <c r="AH75" i="38"/>
  <c r="AH73" i="38"/>
  <c r="AH93" i="38" s="1"/>
  <c r="AE64" i="38"/>
  <c r="AE90" i="38" s="1"/>
  <c r="AD64" i="38"/>
  <c r="AD90" i="38" s="1"/>
  <c r="AE77" i="38"/>
  <c r="AD77" i="38"/>
  <c r="AE76" i="38"/>
  <c r="AE94" i="38" s="1"/>
  <c r="AD76" i="38"/>
  <c r="AD94" i="38" s="1"/>
  <c r="AE78" i="38"/>
  <c r="AD78" i="38"/>
  <c r="AH64" i="38"/>
  <c r="AH90" i="38" s="1"/>
  <c r="AG64" i="38"/>
  <c r="AG90" i="38" s="1"/>
  <c r="AH61" i="38"/>
  <c r="AH89" i="38" s="1"/>
  <c r="AG61" i="38"/>
  <c r="AG89" i="38" s="1"/>
  <c r="AE67" i="38"/>
  <c r="AE91" i="38" s="1"/>
  <c r="AD67" i="38"/>
  <c r="AD91" i="38" s="1"/>
  <c r="AB70" i="38"/>
  <c r="AB71" i="38" s="1"/>
  <c r="AA70" i="38"/>
  <c r="AA71" i="38" s="1"/>
  <c r="AE70" i="38"/>
  <c r="AE92" i="38" s="1"/>
  <c r="AD70" i="38"/>
  <c r="AD92" i="38" s="1"/>
  <c r="AB67" i="38"/>
  <c r="AB69" i="38" s="1"/>
  <c r="AA67" i="38"/>
  <c r="AA91" i="38" s="1"/>
  <c r="AK91" i="38"/>
  <c r="AJ91" i="38"/>
  <c r="AK94" i="38"/>
  <c r="AJ94" i="38"/>
  <c r="AE73" i="38"/>
  <c r="AE93" i="38" s="1"/>
  <c r="AD73" i="38"/>
  <c r="AD93" i="38" s="1"/>
  <c r="AE75" i="38"/>
  <c r="AD75" i="38"/>
  <c r="AE74" i="38"/>
  <c r="AD74" i="38"/>
  <c r="AK89" i="38"/>
  <c r="AJ89" i="38"/>
  <c r="AB73" i="38"/>
  <c r="AB93" i="38" s="1"/>
  <c r="AA75" i="38"/>
  <c r="AB75" i="38"/>
  <c r="AA74" i="38"/>
  <c r="AB74" i="38"/>
  <c r="AA73" i="38"/>
  <c r="AA93" i="38" s="1"/>
  <c r="AJ93" i="38"/>
  <c r="AA64" i="38"/>
  <c r="AA65" i="38" s="1"/>
  <c r="AB64" i="38"/>
  <c r="AB65" i="38" s="1"/>
  <c r="AG75" i="38"/>
  <c r="AK95" i="38"/>
  <c r="AJ95" i="38"/>
  <c r="P64" i="38"/>
  <c r="P66" i="38" s="1"/>
  <c r="O64" i="38"/>
  <c r="O66" i="38" s="1"/>
  <c r="P70" i="38"/>
  <c r="P71" i="38" s="1"/>
  <c r="O70" i="38"/>
  <c r="O92" i="38" s="1"/>
  <c r="AH67" i="38"/>
  <c r="AH91" i="38" s="1"/>
  <c r="AG67" i="38"/>
  <c r="AG91" i="38" s="1"/>
  <c r="G79" i="38"/>
  <c r="G95" i="38" s="1"/>
  <c r="G67" i="38"/>
  <c r="G91" i="38" s="1"/>
  <c r="F61" i="38"/>
  <c r="F89" i="38" s="1"/>
  <c r="G61" i="38"/>
  <c r="G89" i="38" s="1"/>
  <c r="F67" i="38"/>
  <c r="F91" i="38" s="1"/>
  <c r="F64" i="38"/>
  <c r="F90" i="38" s="1"/>
  <c r="F79" i="38"/>
  <c r="F95" i="38" s="1"/>
  <c r="G64" i="38"/>
  <c r="G90" i="38" s="1"/>
  <c r="F88" i="38"/>
  <c r="G76" i="38"/>
  <c r="G94" i="38" s="1"/>
  <c r="F75" i="38"/>
  <c r="G78" i="38"/>
  <c r="G77" i="38"/>
  <c r="G75" i="38"/>
  <c r="F76" i="38"/>
  <c r="F94" i="38" s="1"/>
  <c r="F73" i="38"/>
  <c r="F93" i="38" s="1"/>
  <c r="G70" i="38"/>
  <c r="G92" i="38" s="1"/>
  <c r="F77" i="38"/>
  <c r="G73" i="38"/>
  <c r="G93" i="38" s="1"/>
  <c r="F78" i="38"/>
  <c r="F74" i="38"/>
  <c r="G74" i="38"/>
  <c r="F70" i="38"/>
  <c r="F92" i="38" s="1"/>
  <c r="C74" i="38"/>
  <c r="J61" i="38"/>
  <c r="J62" i="38" s="1"/>
  <c r="I64" i="38"/>
  <c r="I65" i="38" s="1"/>
  <c r="I61" i="38"/>
  <c r="I89" i="38" s="1"/>
  <c r="J67" i="38"/>
  <c r="J69" i="38" s="1"/>
  <c r="I67" i="38"/>
  <c r="J64" i="38"/>
  <c r="J65" i="38" s="1"/>
  <c r="I79" i="38"/>
  <c r="I95" i="38" s="1"/>
  <c r="J79" i="38"/>
  <c r="J95" i="38" s="1"/>
  <c r="J58" i="38"/>
  <c r="J88" i="38" s="1"/>
  <c r="J70" i="38"/>
  <c r="I58" i="38"/>
  <c r="I60" i="38" s="1"/>
  <c r="I70" i="38"/>
  <c r="I92" i="38" s="1"/>
  <c r="I76" i="38"/>
  <c r="I94" i="38" s="1"/>
  <c r="I73" i="38"/>
  <c r="I93" i="38" s="1"/>
  <c r="J76" i="38"/>
  <c r="J94" i="38" s="1"/>
  <c r="J73" i="38"/>
  <c r="J93" i="38" s="1"/>
  <c r="J74" i="38"/>
  <c r="I77" i="38"/>
  <c r="J75" i="38"/>
  <c r="I78" i="38"/>
  <c r="AD79" i="38"/>
  <c r="AD95" i="38" s="1"/>
  <c r="AG74" i="38"/>
  <c r="AG73" i="38"/>
  <c r="AG93" i="38" s="1"/>
  <c r="AA79" i="38"/>
  <c r="AA95" i="38" s="1"/>
  <c r="AB79" i="38"/>
  <c r="AB95" i="38" s="1"/>
  <c r="P61" i="38"/>
  <c r="P89" i="38" s="1"/>
  <c r="AB77" i="38"/>
  <c r="AA76" i="38"/>
  <c r="AA94" i="38" s="1"/>
  <c r="AB76" i="38"/>
  <c r="AB94" i="38" s="1"/>
  <c r="AA78" i="38"/>
  <c r="AB78" i="38"/>
  <c r="AA77" i="38"/>
  <c r="AK92" i="38"/>
  <c r="AJ92" i="38"/>
  <c r="AB58" i="38"/>
  <c r="AB59" i="38" s="1"/>
  <c r="AA59" i="38"/>
  <c r="AH79" i="38"/>
  <c r="AH95" i="38" s="1"/>
  <c r="AG79" i="38"/>
  <c r="AG95" i="38" s="1"/>
  <c r="O67" i="38"/>
  <c r="O69" i="38" s="1"/>
  <c r="P67" i="38"/>
  <c r="P91" i="38" s="1"/>
  <c r="AB61" i="38"/>
  <c r="AB63" i="38" s="1"/>
  <c r="AA61" i="38"/>
  <c r="AA89" i="38" s="1"/>
  <c r="AE58" i="38"/>
  <c r="AE88" i="38" s="1"/>
  <c r="AD58" i="38"/>
  <c r="AD88" i="38" s="1"/>
  <c r="AH77" i="38"/>
  <c r="AG77" i="38"/>
  <c r="AH76" i="38"/>
  <c r="AH94" i="38" s="1"/>
  <c r="AG76" i="38"/>
  <c r="AG94" i="38" s="1"/>
  <c r="AH78" i="38"/>
  <c r="AG78" i="38"/>
  <c r="AH70" i="38"/>
  <c r="AH92" i="38" s="1"/>
  <c r="AG70" i="38"/>
  <c r="AG92" i="38" s="1"/>
  <c r="AE61" i="38"/>
  <c r="AE89" i="38" s="1"/>
  <c r="AD61" i="38"/>
  <c r="AD89" i="38" s="1"/>
  <c r="AK88" i="38"/>
  <c r="AJ88" i="38"/>
  <c r="AH58" i="38"/>
  <c r="AH88" i="38" s="1"/>
  <c r="AG58" i="38"/>
  <c r="AG88" i="38" s="1"/>
  <c r="O73" i="38"/>
  <c r="O93" i="38" s="1"/>
  <c r="P73" i="38"/>
  <c r="P93" i="38" s="1"/>
  <c r="M73" i="38"/>
  <c r="M75" i="38" s="1"/>
  <c r="L73" i="38"/>
  <c r="L74" i="38" s="1"/>
  <c r="P79" i="38"/>
  <c r="P95" i="38" s="1"/>
  <c r="O79" i="38"/>
  <c r="O95" i="38" s="1"/>
  <c r="O88" i="38"/>
  <c r="O76" i="38"/>
  <c r="P76" i="38"/>
  <c r="P58" i="38"/>
  <c r="P60" i="38" s="1"/>
  <c r="AE79" i="38"/>
  <c r="AE95" i="38" s="1"/>
  <c r="AH74" i="38"/>
  <c r="C61" i="38"/>
  <c r="C89" i="38" s="1"/>
  <c r="C64" i="38"/>
  <c r="C90" i="38" s="1"/>
  <c r="C70" i="38"/>
  <c r="C92" i="38" s="1"/>
  <c r="M70" i="38"/>
  <c r="M92" i="38" s="1"/>
  <c r="K67" i="38"/>
  <c r="AO67" i="38" s="1"/>
  <c r="Y69" i="38"/>
  <c r="W75" i="38"/>
  <c r="D58" i="38"/>
  <c r="D88" i="38" s="1"/>
  <c r="K61" i="38"/>
  <c r="AO61" i="38" s="1"/>
  <c r="K58" i="38"/>
  <c r="AO58" i="38" s="1"/>
  <c r="K64" i="38"/>
  <c r="AO64" i="38" s="1"/>
  <c r="W74" i="38"/>
  <c r="W62" i="38"/>
  <c r="X74" i="38"/>
  <c r="X63" i="38"/>
  <c r="X73" i="38"/>
  <c r="X93" i="38" s="1"/>
  <c r="Y62" i="38"/>
  <c r="Y74" i="38"/>
  <c r="Y75" i="38"/>
  <c r="Y73" i="38"/>
  <c r="Y93" i="38" s="1"/>
  <c r="Y61" i="38"/>
  <c r="Y89" i="38" s="1"/>
  <c r="X62" i="38"/>
  <c r="Y63" i="38"/>
  <c r="X75" i="38"/>
  <c r="X61" i="38"/>
  <c r="X89" i="38" s="1"/>
  <c r="W63" i="38"/>
  <c r="AK93" i="38"/>
  <c r="M76" i="38"/>
  <c r="L76" i="38"/>
  <c r="L94" i="38" s="1"/>
  <c r="L79" i="38"/>
  <c r="M79" i="38"/>
  <c r="Y67" i="38"/>
  <c r="Y91" i="38" s="1"/>
  <c r="Y68" i="38"/>
  <c r="X67" i="38"/>
  <c r="X91" i="38" s="1"/>
  <c r="X69" i="38"/>
  <c r="W68" i="38"/>
  <c r="D64" i="38"/>
  <c r="D90" i="38" s="1"/>
  <c r="X68" i="38"/>
  <c r="W69" i="38"/>
  <c r="X70" i="38"/>
  <c r="X92" i="38" s="1"/>
  <c r="W71" i="38"/>
  <c r="W72" i="38"/>
  <c r="Y71" i="38"/>
  <c r="Y70" i="38"/>
  <c r="Y92" i="38" s="1"/>
  <c r="X71" i="38"/>
  <c r="Y72" i="38"/>
  <c r="X72" i="38"/>
  <c r="D77" i="38"/>
  <c r="D73" i="38"/>
  <c r="D93" i="38" s="1"/>
  <c r="D61" i="38"/>
  <c r="D89" i="38" s="1"/>
  <c r="C78" i="38"/>
  <c r="D74" i="38"/>
  <c r="C76" i="38"/>
  <c r="C94" i="38" s="1"/>
  <c r="C79" i="38"/>
  <c r="C95" i="38" s="1"/>
  <c r="D76" i="38"/>
  <c r="D94" i="38" s="1"/>
  <c r="C77" i="38"/>
  <c r="D78" i="38"/>
  <c r="C73" i="38"/>
  <c r="C93" i="38" s="1"/>
  <c r="C67" i="38"/>
  <c r="C91" i="38" s="1"/>
  <c r="D67" i="38"/>
  <c r="D91" i="38" s="1"/>
  <c r="D79" i="38"/>
  <c r="D95" i="38" s="1"/>
  <c r="D70" i="38"/>
  <c r="D92" i="38" s="1"/>
  <c r="Y64" i="38"/>
  <c r="Y90" i="38" s="1"/>
  <c r="W65" i="38"/>
  <c r="X66" i="38"/>
  <c r="X65" i="38"/>
  <c r="Y66" i="38"/>
  <c r="Y65" i="38"/>
  <c r="X64" i="38"/>
  <c r="X90" i="38" s="1"/>
  <c r="W66" i="38"/>
  <c r="C75" i="38"/>
  <c r="Y58" i="38"/>
  <c r="Y88" i="38" s="1"/>
  <c r="X59" i="38"/>
  <c r="Y59" i="38"/>
  <c r="X58" i="38"/>
  <c r="X88" i="38" s="1"/>
  <c r="W59" i="38"/>
  <c r="X60" i="38"/>
  <c r="W60" i="38"/>
  <c r="Y60" i="38"/>
  <c r="U95" i="38"/>
  <c r="V95" i="38"/>
  <c r="D75" i="38"/>
  <c r="X76" i="38"/>
  <c r="X94" i="38" s="1"/>
  <c r="W77" i="38"/>
  <c r="X78" i="38"/>
  <c r="Y76" i="38"/>
  <c r="Y94" i="38" s="1"/>
  <c r="Y77" i="38"/>
  <c r="Y78" i="38"/>
  <c r="W78" i="38"/>
  <c r="X77" i="38"/>
  <c r="Y81" i="38"/>
  <c r="W80" i="38"/>
  <c r="X79" i="38"/>
  <c r="X95" i="38" s="1"/>
  <c r="X81" i="38"/>
  <c r="Y79" i="38"/>
  <c r="Y95" i="38" s="1"/>
  <c r="W81" i="38"/>
  <c r="Y80" i="38"/>
  <c r="X80" i="38"/>
  <c r="AT72" i="38" l="1"/>
  <c r="AS72" i="38"/>
  <c r="AT71" i="38"/>
  <c r="AR71" i="38" s="1"/>
  <c r="AT65" i="38"/>
  <c r="AR65" i="38" s="1"/>
  <c r="AT66" i="38"/>
  <c r="AS66" i="38"/>
  <c r="AS65" i="38"/>
  <c r="AR69" i="38"/>
  <c r="AR66" i="38"/>
  <c r="AU71" i="38"/>
  <c r="AU68" i="38"/>
  <c r="AU77" i="38"/>
  <c r="AU78" i="38"/>
  <c r="AU62" i="38"/>
  <c r="AU59" i="38"/>
  <c r="AU74" i="38"/>
  <c r="AU75" i="38"/>
  <c r="AU81" i="38"/>
  <c r="AU65" i="38"/>
  <c r="AS61" i="38"/>
  <c r="AS89" i="38" s="1"/>
  <c r="AT61" i="38"/>
  <c r="AT89" i="38" s="1"/>
  <c r="AP58" i="38"/>
  <c r="AP59" i="38" s="1"/>
  <c r="AQ58" i="38"/>
  <c r="AQ59" i="38" s="1"/>
  <c r="AP66" i="38"/>
  <c r="AP65" i="38"/>
  <c r="AQ64" i="38"/>
  <c r="AQ90" i="38" s="1"/>
  <c r="AQ65" i="38"/>
  <c r="AQ66" i="38"/>
  <c r="AP64" i="38"/>
  <c r="AP90" i="38" s="1"/>
  <c r="AQ61" i="38"/>
  <c r="AQ89" i="38" s="1"/>
  <c r="AP61" i="38"/>
  <c r="AP89" i="38" s="1"/>
  <c r="AP68" i="38"/>
  <c r="AQ68" i="38"/>
  <c r="AQ69" i="38"/>
  <c r="AP69" i="38"/>
  <c r="AP67" i="38"/>
  <c r="AP91" i="38" s="1"/>
  <c r="AQ67" i="38"/>
  <c r="AQ91" i="38" s="1"/>
  <c r="AX74" i="38"/>
  <c r="AX59" i="38"/>
  <c r="AX75" i="38"/>
  <c r="AX68" i="38"/>
  <c r="AX81" i="38"/>
  <c r="AX65" i="38"/>
  <c r="AX71" i="38"/>
  <c r="AX77" i="38"/>
  <c r="AX78" i="38"/>
  <c r="AX62" i="38"/>
  <c r="AR74" i="38"/>
  <c r="AR75" i="38"/>
  <c r="AR59" i="38"/>
  <c r="AR68" i="38"/>
  <c r="AR81" i="38"/>
  <c r="AO71" i="38"/>
  <c r="AR77" i="38"/>
  <c r="AR78" i="38"/>
  <c r="AO77" i="38"/>
  <c r="AO78" i="38"/>
  <c r="AO74" i="38"/>
  <c r="AO75" i="38"/>
  <c r="AO81" i="38"/>
  <c r="L64" i="38"/>
  <c r="L66" i="38" s="1"/>
  <c r="M61" i="38"/>
  <c r="M89" i="38" s="1"/>
  <c r="M67" i="38"/>
  <c r="M91" i="38" s="1"/>
  <c r="AL68" i="38"/>
  <c r="I81" i="38"/>
  <c r="AL71" i="38"/>
  <c r="AL77" i="38"/>
  <c r="AL78" i="38"/>
  <c r="AL62" i="38"/>
  <c r="AL81" i="38"/>
  <c r="AL65" i="38"/>
  <c r="AL74" i="38"/>
  <c r="AL75" i="38"/>
  <c r="AL59" i="38"/>
  <c r="T62" i="38"/>
  <c r="T80" i="38"/>
  <c r="T81" i="38"/>
  <c r="T78" i="38"/>
  <c r="T77" i="38"/>
  <c r="T74" i="38"/>
  <c r="T75" i="38"/>
  <c r="S72" i="38"/>
  <c r="S71" i="38"/>
  <c r="L67" i="38"/>
  <c r="L91" i="38" s="1"/>
  <c r="F72" i="38"/>
  <c r="AD71" i="38"/>
  <c r="G72" i="38"/>
  <c r="AI59" i="38"/>
  <c r="AG71" i="38"/>
  <c r="AE71" i="38"/>
  <c r="AC71" i="38" s="1"/>
  <c r="R71" i="38"/>
  <c r="AH71" i="38"/>
  <c r="F71" i="38"/>
  <c r="AD72" i="38"/>
  <c r="AH72" i="38"/>
  <c r="AG72" i="38"/>
  <c r="G71" i="38"/>
  <c r="E71" i="38" s="1"/>
  <c r="AE72" i="38"/>
  <c r="R72" i="38"/>
  <c r="AI62" i="38"/>
  <c r="AI69" i="38"/>
  <c r="R63" i="38"/>
  <c r="R62" i="38"/>
  <c r="AI78" i="38"/>
  <c r="AI81" i="38"/>
  <c r="AI68" i="38"/>
  <c r="AI77" i="38"/>
  <c r="AI74" i="38"/>
  <c r="AI60" i="38"/>
  <c r="AI71" i="38"/>
  <c r="AI75" i="38"/>
  <c r="AI65" i="38"/>
  <c r="AI63" i="38"/>
  <c r="S59" i="38"/>
  <c r="AB80" i="38"/>
  <c r="R68" i="38"/>
  <c r="G81" i="38"/>
  <c r="AH59" i="38"/>
  <c r="AE62" i="38"/>
  <c r="AK90" i="38"/>
  <c r="AG63" i="38"/>
  <c r="AH62" i="38"/>
  <c r="AG66" i="38"/>
  <c r="AG62" i="38"/>
  <c r="AG65" i="38"/>
  <c r="R66" i="38"/>
  <c r="AJ90" i="38"/>
  <c r="AG68" i="38"/>
  <c r="AG81" i="38"/>
  <c r="AH69" i="38"/>
  <c r="AG60" i="38"/>
  <c r="AH81" i="38"/>
  <c r="AH60" i="38"/>
  <c r="AE63" i="38"/>
  <c r="AG80" i="38"/>
  <c r="AH68" i="38"/>
  <c r="AD68" i="38"/>
  <c r="AH63" i="38"/>
  <c r="AH66" i="38"/>
  <c r="AH65" i="38"/>
  <c r="AG59" i="38"/>
  <c r="AD59" i="38"/>
  <c r="AG69" i="38"/>
  <c r="AE81" i="38"/>
  <c r="R69" i="38"/>
  <c r="AE60" i="38"/>
  <c r="AD81" i="38"/>
  <c r="AE69" i="38"/>
  <c r="AE66" i="38"/>
  <c r="AE65" i="38"/>
  <c r="AE80" i="38"/>
  <c r="S60" i="38"/>
  <c r="AE59" i="38"/>
  <c r="AD80" i="38"/>
  <c r="AE68" i="38"/>
  <c r="AD62" i="38"/>
  <c r="AD63" i="38"/>
  <c r="AD60" i="38"/>
  <c r="AC60" i="38" s="1"/>
  <c r="AD69" i="38"/>
  <c r="AD66" i="38"/>
  <c r="AD65" i="38"/>
  <c r="AA81" i="38"/>
  <c r="AA80" i="38"/>
  <c r="Z80" i="38" s="1"/>
  <c r="AB81" i="38"/>
  <c r="R81" i="38"/>
  <c r="Q81" i="38" s="1"/>
  <c r="R80" i="38"/>
  <c r="Q80" i="38" s="1"/>
  <c r="S69" i="38"/>
  <c r="S68" i="38"/>
  <c r="S65" i="38"/>
  <c r="S80" i="38"/>
  <c r="S81" i="38"/>
  <c r="R59" i="38"/>
  <c r="R65" i="38"/>
  <c r="S63" i="38"/>
  <c r="R60" i="38"/>
  <c r="F66" i="38"/>
  <c r="S66" i="38"/>
  <c r="S62" i="38"/>
  <c r="I80" i="38"/>
  <c r="G62" i="38"/>
  <c r="F65" i="38"/>
  <c r="G63" i="38"/>
  <c r="F63" i="38"/>
  <c r="F81" i="38"/>
  <c r="F80" i="38"/>
  <c r="G65" i="38"/>
  <c r="G69" i="38"/>
  <c r="F68" i="38"/>
  <c r="G80" i="38"/>
  <c r="F69" i="38"/>
  <c r="G66" i="38"/>
  <c r="F62" i="38"/>
  <c r="G68" i="38"/>
  <c r="D80" i="38"/>
  <c r="C80" i="38"/>
  <c r="D81" i="38"/>
  <c r="C81" i="38"/>
  <c r="Q63" i="38"/>
  <c r="AA63" i="38"/>
  <c r="I62" i="38"/>
  <c r="I63" i="38"/>
  <c r="P63" i="38"/>
  <c r="P62" i="38"/>
  <c r="O90" i="38"/>
  <c r="O63" i="38"/>
  <c r="O62" i="38"/>
  <c r="I75" i="38"/>
  <c r="H75" i="38" s="1"/>
  <c r="AB92" i="38"/>
  <c r="O68" i="38"/>
  <c r="AB72" i="38"/>
  <c r="P81" i="38"/>
  <c r="AA62" i="38"/>
  <c r="O91" i="38"/>
  <c r="AB88" i="38"/>
  <c r="AB60" i="38"/>
  <c r="I74" i="38"/>
  <c r="I72" i="38"/>
  <c r="J80" i="38"/>
  <c r="P72" i="38"/>
  <c r="P90" i="38"/>
  <c r="AB68" i="38"/>
  <c r="AA92" i="38"/>
  <c r="O80" i="38"/>
  <c r="P80" i="38"/>
  <c r="O74" i="38"/>
  <c r="J59" i="38"/>
  <c r="J81" i="38"/>
  <c r="P65" i="38"/>
  <c r="O81" i="38"/>
  <c r="O75" i="38"/>
  <c r="AA60" i="38"/>
  <c r="P92" i="38"/>
  <c r="O65" i="38"/>
  <c r="AB91" i="38"/>
  <c r="AA72" i="38"/>
  <c r="P78" i="38"/>
  <c r="P94" i="38"/>
  <c r="P59" i="38"/>
  <c r="P88" i="38"/>
  <c r="T59" i="38" s="1"/>
  <c r="O78" i="38"/>
  <c r="O94" i="38"/>
  <c r="O77" i="38"/>
  <c r="L75" i="38"/>
  <c r="P75" i="38"/>
  <c r="N75" i="38" s="1"/>
  <c r="AB89" i="38"/>
  <c r="P69" i="38"/>
  <c r="P68" i="38"/>
  <c r="H78" i="38"/>
  <c r="I71" i="38"/>
  <c r="I68" i="38"/>
  <c r="I91" i="38"/>
  <c r="I69" i="38"/>
  <c r="J63" i="38"/>
  <c r="J89" i="38"/>
  <c r="E72" i="38"/>
  <c r="E74" i="38"/>
  <c r="E75" i="38"/>
  <c r="G88" i="38"/>
  <c r="O72" i="38"/>
  <c r="O71" i="38"/>
  <c r="AA66" i="38"/>
  <c r="AA90" i="38"/>
  <c r="AA69" i="38"/>
  <c r="M93" i="38"/>
  <c r="E77" i="38"/>
  <c r="E78" i="38"/>
  <c r="E81" i="38"/>
  <c r="E80" i="38"/>
  <c r="L93" i="38"/>
  <c r="AA88" i="38"/>
  <c r="J60" i="38"/>
  <c r="AB66" i="38"/>
  <c r="AB90" i="38"/>
  <c r="J72" i="38"/>
  <c r="J92" i="38"/>
  <c r="J68" i="38"/>
  <c r="J91" i="38"/>
  <c r="P77" i="38"/>
  <c r="M74" i="38"/>
  <c r="P74" i="38"/>
  <c r="N74" i="38" s="1"/>
  <c r="AB62" i="38"/>
  <c r="J77" i="38"/>
  <c r="H77" i="38" s="1"/>
  <c r="J78" i="38"/>
  <c r="H74" i="38"/>
  <c r="J71" i="38"/>
  <c r="I59" i="38"/>
  <c r="I88" i="38"/>
  <c r="J66" i="38"/>
  <c r="J90" i="38"/>
  <c r="I66" i="38"/>
  <c r="I90" i="38"/>
  <c r="AA68" i="38"/>
  <c r="B78" i="38"/>
  <c r="B77" i="38"/>
  <c r="M94" i="38"/>
  <c r="M77" i="38"/>
  <c r="B75" i="38"/>
  <c r="B74" i="38"/>
  <c r="M80" i="38"/>
  <c r="M95" i="38"/>
  <c r="M81" i="38"/>
  <c r="L81" i="38"/>
  <c r="L80" i="38"/>
  <c r="L95" i="38"/>
  <c r="Z75" i="38"/>
  <c r="L70" i="38"/>
  <c r="L92" i="38" s="1"/>
  <c r="M78" i="38"/>
  <c r="L77" i="38"/>
  <c r="Z77" i="38"/>
  <c r="L78" i="38"/>
  <c r="Z78" i="38"/>
  <c r="Z74" i="38"/>
  <c r="C65" i="38"/>
  <c r="C66" i="38"/>
  <c r="L61" i="38"/>
  <c r="L89" i="38" s="1"/>
  <c r="D63" i="38"/>
  <c r="C69" i="38"/>
  <c r="D62" i="38"/>
  <c r="M71" i="38"/>
  <c r="C71" i="38"/>
  <c r="C68" i="38"/>
  <c r="D72" i="38"/>
  <c r="C72" i="38"/>
  <c r="D71" i="38"/>
  <c r="M72" i="38"/>
  <c r="D68" i="38"/>
  <c r="D69" i="38"/>
  <c r="M64" i="38"/>
  <c r="M90" i="38" s="1"/>
  <c r="D65" i="38"/>
  <c r="D60" i="38"/>
  <c r="D59" i="38"/>
  <c r="C63" i="38"/>
  <c r="C62" i="38"/>
  <c r="C59" i="38"/>
  <c r="D66" i="38"/>
  <c r="C60" i="38"/>
  <c r="L58" i="38"/>
  <c r="L88" i="38" s="1"/>
  <c r="M58" i="38"/>
  <c r="M88" i="38" s="1"/>
  <c r="AF75" i="38"/>
  <c r="AF74" i="38"/>
  <c r="AC74" i="38"/>
  <c r="AC75" i="38"/>
  <c r="AC77" i="38"/>
  <c r="AC78" i="38"/>
  <c r="W82" i="38"/>
  <c r="AF78" i="38"/>
  <c r="AF77" i="38"/>
  <c r="B71" i="38" l="1"/>
  <c r="E62" i="38"/>
  <c r="Z59" i="38"/>
  <c r="Q65" i="38"/>
  <c r="Z81" i="38"/>
  <c r="B81" i="38"/>
  <c r="B80" i="38"/>
  <c r="AS62" i="38"/>
  <c r="N71" i="38"/>
  <c r="AS63" i="38"/>
  <c r="AT63" i="38"/>
  <c r="AT62" i="38"/>
  <c r="AR62" i="38" s="1"/>
  <c r="Q71" i="38"/>
  <c r="AO65" i="38"/>
  <c r="N63" i="38"/>
  <c r="AO59" i="38"/>
  <c r="AO68" i="38"/>
  <c r="M69" i="38"/>
  <c r="M68" i="38"/>
  <c r="E69" i="38"/>
  <c r="AC13" i="43"/>
  <c r="W35" i="43" s="1"/>
  <c r="AC16" i="43"/>
  <c r="AA35" i="43" s="1"/>
  <c r="Z35" i="43" s="1"/>
  <c r="AC12" i="43"/>
  <c r="AC14" i="43"/>
  <c r="X35" i="43" s="1"/>
  <c r="AC15" i="43"/>
  <c r="Y35" i="43" s="1"/>
  <c r="B72" i="38"/>
  <c r="Q72" i="38"/>
  <c r="AO69" i="38"/>
  <c r="M62" i="38"/>
  <c r="M63" i="38"/>
  <c r="L65" i="38"/>
  <c r="AQ63" i="38"/>
  <c r="AO63" i="38" s="1"/>
  <c r="L90" i="38"/>
  <c r="AP60" i="38"/>
  <c r="AF60" i="38"/>
  <c r="AP63" i="38"/>
  <c r="AP88" i="38"/>
  <c r="AO66" i="38"/>
  <c r="AQ62" i="38"/>
  <c r="AO62" i="38" s="1"/>
  <c r="AP62" i="38"/>
  <c r="AF63" i="38"/>
  <c r="AQ60" i="38"/>
  <c r="AQ88" i="38"/>
  <c r="AU72" i="38"/>
  <c r="AU82" i="38" s="1"/>
  <c r="AU83" i="38" s="1"/>
  <c r="AW80" i="38"/>
  <c r="AU80" i="38" s="1"/>
  <c r="AX72" i="38"/>
  <c r="AX82" i="38" s="1"/>
  <c r="AX83" i="38" s="1"/>
  <c r="AZ80" i="38"/>
  <c r="AX80" i="38" s="1"/>
  <c r="AO72" i="38"/>
  <c r="AR72" i="38"/>
  <c r="H81" i="38"/>
  <c r="AL72" i="38"/>
  <c r="AL82" i="38" s="1"/>
  <c r="AL83" i="38" s="1"/>
  <c r="AN80" i="38"/>
  <c r="AL80" i="38" s="1"/>
  <c r="AF71" i="38"/>
  <c r="T82" i="38"/>
  <c r="AC69" i="38"/>
  <c r="AF69" i="38"/>
  <c r="Q69" i="38"/>
  <c r="L69" i="38"/>
  <c r="L68" i="38"/>
  <c r="E63" i="38"/>
  <c r="Q62" i="38"/>
  <c r="AF62" i="38"/>
  <c r="Q68" i="38"/>
  <c r="E68" i="38"/>
  <c r="AF81" i="38"/>
  <c r="Q60" i="38"/>
  <c r="Q66" i="38"/>
  <c r="AI72" i="38"/>
  <c r="E66" i="38"/>
  <c r="AC81" i="38"/>
  <c r="B69" i="38"/>
  <c r="E65" i="38"/>
  <c r="AF65" i="38"/>
  <c r="AI66" i="38"/>
  <c r="AF66" i="38"/>
  <c r="AC66" i="38"/>
  <c r="AC80" i="38"/>
  <c r="AC62" i="38"/>
  <c r="AC65" i="38"/>
  <c r="AC63" i="38"/>
  <c r="B66" i="38"/>
  <c r="B65" i="38"/>
  <c r="N80" i="38"/>
  <c r="Q59" i="38"/>
  <c r="H80" i="38"/>
  <c r="N81" i="38"/>
  <c r="B62" i="38"/>
  <c r="B63" i="38"/>
  <c r="B59" i="38"/>
  <c r="B60" i="38"/>
  <c r="B68" i="38"/>
  <c r="Z71" i="38"/>
  <c r="H62" i="38"/>
  <c r="Z69" i="38"/>
  <c r="L71" i="38"/>
  <c r="K71" i="38" s="1"/>
  <c r="Z63" i="38"/>
  <c r="AF72" i="38"/>
  <c r="Z62" i="38"/>
  <c r="N65" i="38"/>
  <c r="Z72" i="38"/>
  <c r="N62" i="38"/>
  <c r="AC7" i="43" s="1"/>
  <c r="N66" i="38"/>
  <c r="Z68" i="38"/>
  <c r="H63" i="38"/>
  <c r="N59" i="38"/>
  <c r="N68" i="38"/>
  <c r="Z60" i="38"/>
  <c r="N60" i="38"/>
  <c r="H72" i="38"/>
  <c r="K75" i="38"/>
  <c r="Z65" i="38"/>
  <c r="N69" i="38"/>
  <c r="AC34" i="43" s="1"/>
  <c r="Z66" i="38"/>
  <c r="E60" i="38"/>
  <c r="N72" i="38"/>
  <c r="AC72" i="38"/>
  <c r="H66" i="38"/>
  <c r="H60" i="38"/>
  <c r="H59" i="38"/>
  <c r="H65" i="38"/>
  <c r="H71" i="38"/>
  <c r="K74" i="38"/>
  <c r="H68" i="38"/>
  <c r="H69" i="38"/>
  <c r="N78" i="38"/>
  <c r="N77" i="38"/>
  <c r="E59" i="38"/>
  <c r="X4" i="43" s="1"/>
  <c r="K77" i="38"/>
  <c r="K78" i="38"/>
  <c r="K81" i="38"/>
  <c r="K80" i="38"/>
  <c r="L72" i="38"/>
  <c r="K72" i="38" s="1"/>
  <c r="AF68" i="38"/>
  <c r="AC68" i="38"/>
  <c r="L62" i="38"/>
  <c r="L63" i="38"/>
  <c r="AC59" i="38"/>
  <c r="M65" i="38"/>
  <c r="M66" i="38"/>
  <c r="AF59" i="38"/>
  <c r="M60" i="38"/>
  <c r="M59" i="38"/>
  <c r="L60" i="38"/>
  <c r="L59" i="38"/>
  <c r="AR63" i="38" l="1"/>
  <c r="AT80" i="38" s="1"/>
  <c r="AR80" i="38" s="1"/>
  <c r="H38" i="42"/>
  <c r="J38" i="42" s="1"/>
  <c r="AC35" i="43"/>
  <c r="AH6" i="43"/>
  <c r="W33" i="43" s="1"/>
  <c r="AC33" i="43"/>
  <c r="AC31" i="43"/>
  <c r="X8" i="43"/>
  <c r="AA31" i="43" s="1"/>
  <c r="Z31" i="43" s="1"/>
  <c r="K69" i="38"/>
  <c r="AC32" i="43"/>
  <c r="K63" i="38"/>
  <c r="K68" i="38"/>
  <c r="AH8" i="43"/>
  <c r="AH5" i="43"/>
  <c r="AC6" i="43"/>
  <c r="X32" i="43" s="1"/>
  <c r="X13" i="43"/>
  <c r="W34" i="43" s="1"/>
  <c r="X14" i="43"/>
  <c r="X34" i="43" s="1"/>
  <c r="X15" i="43"/>
  <c r="Y34" i="43" s="1"/>
  <c r="X16" i="43"/>
  <c r="AA34" i="43" s="1"/>
  <c r="Z34" i="43" s="1"/>
  <c r="X12" i="43"/>
  <c r="X6" i="43"/>
  <c r="X31" i="43" s="1"/>
  <c r="AC4" i="43"/>
  <c r="X5" i="43"/>
  <c r="W31" i="43" s="1"/>
  <c r="AC8" i="43"/>
  <c r="AA32" i="43" s="1"/>
  <c r="Z32" i="43" s="1"/>
  <c r="AC5" i="43"/>
  <c r="W32" i="43" s="1"/>
  <c r="AH7" i="43"/>
  <c r="X33" i="43" s="1"/>
  <c r="X7" i="43"/>
  <c r="Y31" i="43" s="1"/>
  <c r="AH4" i="43"/>
  <c r="K66" i="38"/>
  <c r="K62" i="38"/>
  <c r="K65" i="38"/>
  <c r="AO60" i="38"/>
  <c r="AF82" i="38"/>
  <c r="E82" i="38"/>
  <c r="Q82" i="38"/>
  <c r="V35" i="43"/>
  <c r="AB35" i="43" s="1"/>
  <c r="AF35" i="43" s="1"/>
  <c r="AG35" i="43" s="1"/>
  <c r="K38" i="42" s="1"/>
  <c r="Y32" i="43"/>
  <c r="AH80" i="38"/>
  <c r="AF80" i="38" s="1"/>
  <c r="AI82" i="38"/>
  <c r="AI83" i="38" s="1"/>
  <c r="AK80" i="38"/>
  <c r="AI80" i="38" s="1"/>
  <c r="K60" i="38"/>
  <c r="B82" i="38"/>
  <c r="K59" i="38"/>
  <c r="Z82" i="38"/>
  <c r="N82" i="38"/>
  <c r="H82" i="38"/>
  <c r="AC82" i="38"/>
  <c r="AO82" i="38" l="1"/>
  <c r="AO83" i="38" s="1"/>
  <c r="AQ80" i="38"/>
  <c r="AO80" i="38" s="1"/>
  <c r="AR82" i="38"/>
  <c r="AR83" i="38" s="1"/>
  <c r="H35" i="42"/>
  <c r="J35" i="42" s="1"/>
  <c r="L35" i="42" s="1"/>
  <c r="H37" i="42"/>
  <c r="J37" i="42" s="1"/>
  <c r="L37" i="42" s="1"/>
  <c r="H34" i="42"/>
  <c r="J34" i="42" s="1"/>
  <c r="L34" i="42" s="1"/>
  <c r="H36" i="42"/>
  <c r="J36" i="42" s="1"/>
  <c r="L36" i="42" s="1"/>
  <c r="K82" i="38"/>
  <c r="V31" i="43"/>
  <c r="AB31" i="43" s="1"/>
  <c r="AF31" i="43" s="1"/>
  <c r="AG31" i="43" s="1"/>
  <c r="K34" i="42" s="1"/>
  <c r="V34" i="43"/>
  <c r="AB34" i="43" s="1"/>
  <c r="AF34" i="43" s="1"/>
  <c r="AG34" i="43" s="1"/>
  <c r="K37" i="42" s="1"/>
  <c r="V32" i="43"/>
  <c r="AB32" i="43" s="1"/>
  <c r="AF32" i="43" s="1"/>
  <c r="AG32" i="43" s="1"/>
  <c r="K35" i="42" s="1"/>
  <c r="V33" i="43"/>
  <c r="AA33" i="43"/>
  <c r="Z33" i="43" s="1"/>
  <c r="Y33" i="43"/>
  <c r="L38" i="42"/>
  <c r="I34" i="42"/>
  <c r="L39" i="42" l="1"/>
  <c r="G42" i="42" s="1"/>
  <c r="AB33" i="43"/>
  <c r="AF33" i="43" s="1"/>
  <c r="AG33" i="43" s="1"/>
  <c r="K36" i="42" s="1"/>
  <c r="G41" i="42"/>
  <c r="K42" i="42" l="1"/>
  <c r="N29" i="43" l="1"/>
</calcChain>
</file>

<file path=xl/sharedStrings.xml><?xml version="1.0" encoding="utf-8"?>
<sst xmlns="http://schemas.openxmlformats.org/spreadsheetml/2006/main" count="9958" uniqueCount="2381">
  <si>
    <t>Código</t>
  </si>
  <si>
    <t>Descripción</t>
  </si>
  <si>
    <t>Fecha</t>
  </si>
  <si>
    <t>Firma</t>
  </si>
  <si>
    <t>Nombre</t>
  </si>
  <si>
    <t>Reporte de Calibración</t>
  </si>
  <si>
    <t>Iniciales</t>
  </si>
  <si>
    <t>Finales</t>
  </si>
  <si>
    <t>Fecha:</t>
  </si>
  <si>
    <t>Realizó:</t>
  </si>
  <si>
    <t>Patrón</t>
  </si>
  <si>
    <t>Frecuencia</t>
  </si>
  <si>
    <t>Daniel Guadarrama Mejía</t>
  </si>
  <si>
    <t>Reporte:</t>
  </si>
  <si>
    <t>Técnico de Calibración</t>
  </si>
  <si>
    <t>Ingeniero de Calibración</t>
  </si>
  <si>
    <t>Año</t>
  </si>
  <si>
    <t>Consecutivo</t>
  </si>
  <si>
    <t>IBC</t>
  </si>
  <si>
    <t>No</t>
  </si>
  <si>
    <t>02-02-02482</t>
  </si>
  <si>
    <t>bar</t>
  </si>
  <si>
    <t>Reporte</t>
  </si>
  <si>
    <t>Puntos</t>
  </si>
  <si>
    <t>Error de medición</t>
  </si>
  <si>
    <t>Incertidumbre</t>
  </si>
  <si>
    <t>Vigencia</t>
  </si>
  <si>
    <t>Error</t>
  </si>
  <si>
    <t>Presion</t>
  </si>
  <si>
    <t>E</t>
  </si>
  <si>
    <t>U</t>
  </si>
  <si>
    <t>Umax</t>
  </si>
  <si>
    <t>Tipo</t>
  </si>
  <si>
    <t>%HR</t>
  </si>
  <si>
    <t>Probiomed S.A. de C.V.</t>
  </si>
  <si>
    <t>Descripción:</t>
  </si>
  <si>
    <t>Código:</t>
  </si>
  <si>
    <t>Tolerancia:</t>
  </si>
  <si>
    <t>Ubicación:</t>
  </si>
  <si>
    <t>Informe de calibración:</t>
  </si>
  <si>
    <t>Vigencia:</t>
  </si>
  <si>
    <t>Humedad Relativa:</t>
  </si>
  <si>
    <t>Temperatura ambiente:</t>
  </si>
  <si>
    <t>Fecha de calibración:</t>
  </si>
  <si>
    <t>Andrés López Godínez</t>
  </si>
  <si>
    <t>Lectura IBC</t>
  </si>
  <si>
    <t>Lectura Patrón</t>
  </si>
  <si>
    <t>Dictamen:</t>
  </si>
  <si>
    <t>Próxima Calibración:</t>
  </si>
  <si>
    <t>Actividad</t>
  </si>
  <si>
    <t>Puesto</t>
  </si>
  <si>
    <t>Revisó:</t>
  </si>
  <si>
    <t>Factor resol</t>
  </si>
  <si>
    <t>0D-0019-1072</t>
  </si>
  <si>
    <t>Codigo</t>
  </si>
  <si>
    <t>Descripcion</t>
  </si>
  <si>
    <t>Criticidad</t>
  </si>
  <si>
    <t>Codigo_Ubicacion</t>
  </si>
  <si>
    <t>Departamento_Responsable</t>
  </si>
  <si>
    <t>Calibración</t>
  </si>
  <si>
    <t>Termómetro bimetálico</t>
  </si>
  <si>
    <t>Linferior</t>
  </si>
  <si>
    <t>Lsuperior</t>
  </si>
  <si>
    <t>Div. Minima</t>
  </si>
  <si>
    <t>Condiciones ambientales</t>
  </si>
  <si>
    <t>°C</t>
  </si>
  <si>
    <t>Unidad</t>
  </si>
  <si>
    <t>Reporte de calib</t>
  </si>
  <si>
    <t>Descripcioón</t>
  </si>
  <si>
    <t>Departamento:</t>
  </si>
  <si>
    <t>Errores</t>
  </si>
  <si>
    <t>Error (+)</t>
  </si>
  <si>
    <t>Error (-)</t>
  </si>
  <si>
    <t>Criticidad:</t>
  </si>
  <si>
    <t>Puntos a calibrar</t>
  </si>
  <si>
    <t># Repeticiones</t>
  </si>
  <si>
    <t>°F</t>
  </si>
  <si>
    <t>°R</t>
  </si>
  <si>
    <t># Puntos</t>
  </si>
  <si>
    <t>Tolerancia</t>
  </si>
  <si>
    <t>2.    02-02-03948</t>
  </si>
  <si>
    <t>02-02-03948</t>
  </si>
  <si>
    <t>02-02-05267</t>
  </si>
  <si>
    <t>Sensor de temperatura</t>
  </si>
  <si>
    <t>Sensor de temperatura RTD Patrón</t>
  </si>
  <si>
    <t>Termómetro digital</t>
  </si>
  <si>
    <t>Calibrador de procesos</t>
  </si>
  <si>
    <t>Referencia baja temperatura</t>
  </si>
  <si>
    <t>0D-0021-0714</t>
  </si>
  <si>
    <t xml:space="preserve">Patrón </t>
  </si>
  <si>
    <t>Patrón Corr</t>
  </si>
  <si>
    <t>2do punto</t>
  </si>
  <si>
    <t>3er punto</t>
  </si>
  <si>
    <t>5to punto</t>
  </si>
  <si>
    <t>4to punto</t>
  </si>
  <si>
    <t>1er punto</t>
  </si>
  <si>
    <t>Controlador de temperatura</t>
  </si>
  <si>
    <t>Transmisor de temperatura</t>
  </si>
  <si>
    <t>Graficador de temperatura</t>
  </si>
  <si>
    <t>Aseguramiento de Calidad</t>
  </si>
  <si>
    <t>Registrador de temperatura</t>
  </si>
  <si>
    <t>Sensor de velocidad</t>
  </si>
  <si>
    <t>Termómetro</t>
  </si>
  <si>
    <t>Termómetro infrarrojo</t>
  </si>
  <si>
    <t>Temperatura</t>
  </si>
  <si>
    <t>pozo 2</t>
  </si>
  <si>
    <t>10.  02-02-05267</t>
  </si>
  <si>
    <t>Punto</t>
  </si>
  <si>
    <t>Error 1</t>
  </si>
  <si>
    <t>Error 2</t>
  </si>
  <si>
    <t>Error 3</t>
  </si>
  <si>
    <t>Error 4</t>
  </si>
  <si>
    <t>Error 5</t>
  </si>
  <si>
    <r>
      <t xml:space="preserve">u </t>
    </r>
    <r>
      <rPr>
        <b/>
        <vertAlign val="subscript"/>
        <sz val="8"/>
        <rFont val="Arial"/>
        <family val="2"/>
      </rPr>
      <t>repetibilidad</t>
    </r>
  </si>
  <si>
    <r>
      <t xml:space="preserve">u </t>
    </r>
    <r>
      <rPr>
        <b/>
        <vertAlign val="subscript"/>
        <sz val="8"/>
        <rFont val="Arial"/>
        <family val="2"/>
      </rPr>
      <t>patrón</t>
    </r>
  </si>
  <si>
    <r>
      <t>u</t>
    </r>
    <r>
      <rPr>
        <b/>
        <vertAlign val="subscript"/>
        <sz val="8"/>
        <rFont val="Arial"/>
        <family val="2"/>
      </rPr>
      <t xml:space="preserve"> resolución</t>
    </r>
  </si>
  <si>
    <r>
      <t xml:space="preserve">u </t>
    </r>
    <r>
      <rPr>
        <b/>
        <vertAlign val="subscript"/>
        <sz val="8"/>
        <rFont val="Arial"/>
        <family val="2"/>
      </rPr>
      <t>combinada</t>
    </r>
  </si>
  <si>
    <r>
      <t xml:space="preserve">U </t>
    </r>
    <r>
      <rPr>
        <b/>
        <vertAlign val="subscript"/>
        <sz val="9"/>
        <rFont val="Arial"/>
        <family val="2"/>
      </rPr>
      <t>expandida</t>
    </r>
  </si>
  <si>
    <t># Datos</t>
  </si>
  <si>
    <t>Datos reg</t>
  </si>
  <si>
    <t>÷</t>
  </si>
  <si>
    <t>La incertidumbre de medición se calculó en base a la guía para estimar la incertidumbre, CENAM 2004 para un factor de cobertura k=2 (nivel de confianza 95.45 %)</t>
  </si>
  <si>
    <t>La calibración se realizó por comparación directa con un instrumento trazable al Sistema Internacional de unidades</t>
  </si>
  <si>
    <t xml:space="preserve">Intervalo de medición: </t>
  </si>
  <si>
    <t>02-02-05858</t>
  </si>
  <si>
    <t>Calibrador de temperatura</t>
  </si>
  <si>
    <t>02-02-04961</t>
  </si>
  <si>
    <t>02-02-04962</t>
  </si>
  <si>
    <t>Sensor de temperatura y humedad relativa</t>
  </si>
  <si>
    <t>15.  02-02-04961</t>
  </si>
  <si>
    <t>16.  02-02-04962</t>
  </si>
  <si>
    <t>0D-0022-1362</t>
  </si>
  <si>
    <t>Manómetro</t>
  </si>
  <si>
    <t>Tacómetro</t>
  </si>
  <si>
    <t>Contador de partículas</t>
  </si>
  <si>
    <t>Manómetro diferencial</t>
  </si>
  <si>
    <t>Termohigrómetro</t>
  </si>
  <si>
    <t>Control de Calidad</t>
  </si>
  <si>
    <t>Báscula</t>
  </si>
  <si>
    <t>Amperímetro</t>
  </si>
  <si>
    <t>Balanza</t>
  </si>
  <si>
    <t>Temporizador</t>
  </si>
  <si>
    <t>Rotámetro</t>
  </si>
  <si>
    <t>Micropipeta</t>
  </si>
  <si>
    <t>Válvula de seguridad</t>
  </si>
  <si>
    <t>Conductímetro</t>
  </si>
  <si>
    <t>Transmisor de presión</t>
  </si>
  <si>
    <t>Sensor de CO2</t>
  </si>
  <si>
    <t>Registrador multipuntos</t>
  </si>
  <si>
    <t>Turbidímetro</t>
  </si>
  <si>
    <t>Cronómetro</t>
  </si>
  <si>
    <t>Controlador de velocidad</t>
  </si>
  <si>
    <t>Registrador de temperatura y humedad</t>
  </si>
  <si>
    <t>Manometro</t>
  </si>
  <si>
    <t xml:space="preserve">Manometro </t>
  </si>
  <si>
    <t>Potenciómetro</t>
  </si>
  <si>
    <t xml:space="preserve">Registrador de temperatura y humedad </t>
  </si>
  <si>
    <t>Bureta</t>
  </si>
  <si>
    <t>Controlador de tiempo</t>
  </si>
  <si>
    <t>0D-0022-2106</t>
  </si>
  <si>
    <t>0D-0022-2107</t>
  </si>
  <si>
    <t>Num. decimales</t>
  </si>
  <si>
    <t>02-0G-00626</t>
  </si>
  <si>
    <t>6.    02-0G-00626  Ref</t>
  </si>
  <si>
    <t>8.    02-0G-00626 (2)</t>
  </si>
  <si>
    <t>02-0G-00626 (2)</t>
  </si>
  <si>
    <t>Brenda Torres Salazar</t>
  </si>
  <si>
    <t>02-0G-00624</t>
  </si>
  <si>
    <t>02-0G-00627</t>
  </si>
  <si>
    <t>1.    02-0G-00627</t>
  </si>
  <si>
    <t xml:space="preserve">Gestion de calibracion </t>
  </si>
  <si>
    <t>1 Datos del instrumento bajo calibración</t>
  </si>
  <si>
    <t>2 Datos del instrumento de referencia</t>
  </si>
  <si>
    <t>3 Condiciones ambientales</t>
  </si>
  <si>
    <t>4 Tabla de resultados</t>
  </si>
  <si>
    <t>5 Observaciones</t>
  </si>
  <si>
    <t>6 Autorizaciones</t>
  </si>
  <si>
    <t>02-0G-00001</t>
  </si>
  <si>
    <t>02-0G-00002</t>
  </si>
  <si>
    <t>02-0G-00003</t>
  </si>
  <si>
    <t>02-0G-00004</t>
  </si>
  <si>
    <t>02-0G-00005</t>
  </si>
  <si>
    <t>02-0G-00009</t>
  </si>
  <si>
    <t>02-0G-00010</t>
  </si>
  <si>
    <t>02-0G-00011</t>
  </si>
  <si>
    <t>02-0G-00019</t>
  </si>
  <si>
    <t>02-0G-00020</t>
  </si>
  <si>
    <t>02-0G-00021</t>
  </si>
  <si>
    <t>02-0G-00028</t>
  </si>
  <si>
    <t>02-0G-00029</t>
  </si>
  <si>
    <t>02-0G-00030</t>
  </si>
  <si>
    <t>02-0G-00033</t>
  </si>
  <si>
    <t>02-0G-00034</t>
  </si>
  <si>
    <t>02-0G-00035</t>
  </si>
  <si>
    <t>02-0G-00038</t>
  </si>
  <si>
    <t>02-0G-00039</t>
  </si>
  <si>
    <t>02-0G-00040</t>
  </si>
  <si>
    <t>02-0G-00041</t>
  </si>
  <si>
    <t>02-0G-00042</t>
  </si>
  <si>
    <t>02-0G-00043</t>
  </si>
  <si>
    <t>02-0G-00044</t>
  </si>
  <si>
    <t>02-0G-00045</t>
  </si>
  <si>
    <t>02-0G-00046</t>
  </si>
  <si>
    <t>02-0G-00047</t>
  </si>
  <si>
    <t>02-0G-00048</t>
  </si>
  <si>
    <t>02-0G-00049</t>
  </si>
  <si>
    <t>02-0G-00050</t>
  </si>
  <si>
    <t>02-0G-00053</t>
  </si>
  <si>
    <t>02-0G-00054</t>
  </si>
  <si>
    <t>02-0G-00055</t>
  </si>
  <si>
    <t>02-0G-00056</t>
  </si>
  <si>
    <t>02-0G-00059</t>
  </si>
  <si>
    <t>02-0G-00060</t>
  </si>
  <si>
    <t>02-0G-00062</t>
  </si>
  <si>
    <t>02-0G-00063</t>
  </si>
  <si>
    <t>02-0G-00065</t>
  </si>
  <si>
    <t>02-0G-00066</t>
  </si>
  <si>
    <t>02-0G-00067</t>
  </si>
  <si>
    <t>02-0G-00068</t>
  </si>
  <si>
    <t>02-0G-00069</t>
  </si>
  <si>
    <t>02-0G-00070</t>
  </si>
  <si>
    <t>02-0G-00071</t>
  </si>
  <si>
    <t>02-0G-00072</t>
  </si>
  <si>
    <t>02-0G-00073</t>
  </si>
  <si>
    <t>02-0G-00074</t>
  </si>
  <si>
    <t>02-0G-00075</t>
  </si>
  <si>
    <t>02-0G-00076</t>
  </si>
  <si>
    <t>02-0G-00077</t>
  </si>
  <si>
    <t>02-0G-00078</t>
  </si>
  <si>
    <t>02-0G-00079</t>
  </si>
  <si>
    <t>02-0G-00081</t>
  </si>
  <si>
    <t>02-0G-00083</t>
  </si>
  <si>
    <t>02-0G-00084</t>
  </si>
  <si>
    <t>02-0G-00085</t>
  </si>
  <si>
    <t>02-0G-00086</t>
  </si>
  <si>
    <t>02-0G-00087</t>
  </si>
  <si>
    <t>02-0G-00088</t>
  </si>
  <si>
    <t>02-0G-00089</t>
  </si>
  <si>
    <t>02-0G-00090</t>
  </si>
  <si>
    <t>02-0G-00091</t>
  </si>
  <si>
    <t>02-0G-00092</t>
  </si>
  <si>
    <t>02-0G-00093</t>
  </si>
  <si>
    <t>02-0G-00094</t>
  </si>
  <si>
    <t>02-0G-00095</t>
  </si>
  <si>
    <t>02-0G-00096</t>
  </si>
  <si>
    <t>02-0G-00097</t>
  </si>
  <si>
    <t>02-0G-00099</t>
  </si>
  <si>
    <t>02-0G-00102</t>
  </si>
  <si>
    <t>02-0G-00111</t>
  </si>
  <si>
    <t>02-0G-00112</t>
  </si>
  <si>
    <t>02-0G-00113</t>
  </si>
  <si>
    <t>02-0G-00114</t>
  </si>
  <si>
    <t>02-0G-00115</t>
  </si>
  <si>
    <t>02-0G-00116</t>
  </si>
  <si>
    <t>02-0G-00117</t>
  </si>
  <si>
    <t>02-0G-00118</t>
  </si>
  <si>
    <t>02-0G-00119</t>
  </si>
  <si>
    <t>02-0G-00120</t>
  </si>
  <si>
    <t>02-0G-00121</t>
  </si>
  <si>
    <t>02-0G-00122</t>
  </si>
  <si>
    <t>02-0G-00123</t>
  </si>
  <si>
    <t>02-0G-00124</t>
  </si>
  <si>
    <t>02-0G-00125</t>
  </si>
  <si>
    <t>02-0G-00126</t>
  </si>
  <si>
    <t>02-0G-00127</t>
  </si>
  <si>
    <t>02-0G-00128</t>
  </si>
  <si>
    <t>02-0G-00129</t>
  </si>
  <si>
    <t>02-0G-00130</t>
  </si>
  <si>
    <t>02-0G-00131</t>
  </si>
  <si>
    <t>02-0G-00132</t>
  </si>
  <si>
    <t>02-0G-00133</t>
  </si>
  <si>
    <t>02-0G-00134</t>
  </si>
  <si>
    <t>02-0G-00135</t>
  </si>
  <si>
    <t>02-0G-00136</t>
  </si>
  <si>
    <t>02-0G-00137</t>
  </si>
  <si>
    <t>02-0G-00138</t>
  </si>
  <si>
    <t>02-0G-00139</t>
  </si>
  <si>
    <t>02-0G-00140</t>
  </si>
  <si>
    <t>02-0G-00141</t>
  </si>
  <si>
    <t>02-0G-00144</t>
  </si>
  <si>
    <t>02-0G-00149</t>
  </si>
  <si>
    <t>02-0G-00150</t>
  </si>
  <si>
    <t>02-0G-00151</t>
  </si>
  <si>
    <t>02-0G-00161</t>
  </si>
  <si>
    <t>02-0G-00162</t>
  </si>
  <si>
    <t>02-0G-00163</t>
  </si>
  <si>
    <t>02-0G-00172</t>
  </si>
  <si>
    <t>02-0G-00173</t>
  </si>
  <si>
    <t>02-0G-00174</t>
  </si>
  <si>
    <t>02-0G-00175</t>
  </si>
  <si>
    <t>02-0G-00176</t>
  </si>
  <si>
    <t>02-0G-00177</t>
  </si>
  <si>
    <t>02-0G-00178</t>
  </si>
  <si>
    <t>02-0G-00179</t>
  </si>
  <si>
    <t>02-0G-00180</t>
  </si>
  <si>
    <t>02-0G-00181</t>
  </si>
  <si>
    <t>02-0G-00182</t>
  </si>
  <si>
    <t>02-0G-00183</t>
  </si>
  <si>
    <t>02-0G-00186</t>
  </si>
  <si>
    <t>02-0G-00187</t>
  </si>
  <si>
    <t>02-0G-00188</t>
  </si>
  <si>
    <t>02-0G-00189</t>
  </si>
  <si>
    <t>02-0G-00190</t>
  </si>
  <si>
    <t>02-0G-00191</t>
  </si>
  <si>
    <t>02-0G-00192</t>
  </si>
  <si>
    <t>02-0G-00193</t>
  </si>
  <si>
    <t>02-0G-00194</t>
  </si>
  <si>
    <t>02-0G-00196</t>
  </si>
  <si>
    <t>02-0G-00197</t>
  </si>
  <si>
    <t>02-0G-00198</t>
  </si>
  <si>
    <t>02-0G-00199</t>
  </si>
  <si>
    <t>02-0G-00200</t>
  </si>
  <si>
    <t>02-0G-00201</t>
  </si>
  <si>
    <t>02-0G-00202</t>
  </si>
  <si>
    <t>02-0G-00203</t>
  </si>
  <si>
    <t>02-0G-00204</t>
  </si>
  <si>
    <t>02-0G-00205</t>
  </si>
  <si>
    <t>02-0G-00206</t>
  </si>
  <si>
    <t>02-0G-00207</t>
  </si>
  <si>
    <t>02-0G-00208</t>
  </si>
  <si>
    <t>02-0G-00209</t>
  </si>
  <si>
    <t>02-0G-00210</t>
  </si>
  <si>
    <t>02-0G-00211</t>
  </si>
  <si>
    <t>02-0G-00212</t>
  </si>
  <si>
    <t>02-0G-00213</t>
  </si>
  <si>
    <t>02-0G-00214</t>
  </si>
  <si>
    <t>02-0G-00215</t>
  </si>
  <si>
    <t>02-0G-00216</t>
  </si>
  <si>
    <t>02-0G-00217</t>
  </si>
  <si>
    <t>02-0G-00218</t>
  </si>
  <si>
    <t>02-0G-00219</t>
  </si>
  <si>
    <t>02-0G-00220</t>
  </si>
  <si>
    <t>02-0G-00221</t>
  </si>
  <si>
    <t>02-0G-00222</t>
  </si>
  <si>
    <t>02-0G-00223</t>
  </si>
  <si>
    <t>02-0G-00224</t>
  </si>
  <si>
    <t>02-0G-00225</t>
  </si>
  <si>
    <t>02-0G-00227</t>
  </si>
  <si>
    <t>02-0G-00228</t>
  </si>
  <si>
    <t>02-0G-00229</t>
  </si>
  <si>
    <t>02-0G-00230</t>
  </si>
  <si>
    <t>02-0G-00231</t>
  </si>
  <si>
    <t>02-0G-00232</t>
  </si>
  <si>
    <t>02-0G-00233</t>
  </si>
  <si>
    <t>02-0G-00234</t>
  </si>
  <si>
    <t>02-0G-00235</t>
  </si>
  <si>
    <t>02-0G-00236</t>
  </si>
  <si>
    <t>02-0G-00237</t>
  </si>
  <si>
    <t>02-0G-00238</t>
  </si>
  <si>
    <t>02-0G-00239</t>
  </si>
  <si>
    <t>02-0G-00240</t>
  </si>
  <si>
    <t>02-0G-00241</t>
  </si>
  <si>
    <t>02-0G-00243</t>
  </si>
  <si>
    <t>02-0G-00244</t>
  </si>
  <si>
    <t>02-0G-00245</t>
  </si>
  <si>
    <t>02-0G-00246</t>
  </si>
  <si>
    <t>02-0G-00247</t>
  </si>
  <si>
    <t>02-0G-00248</t>
  </si>
  <si>
    <t>02-0G-00251</t>
  </si>
  <si>
    <t>02-0G-00252</t>
  </si>
  <si>
    <t>02-0G-00253</t>
  </si>
  <si>
    <t>02-0G-00254</t>
  </si>
  <si>
    <t>02-0G-00255</t>
  </si>
  <si>
    <t>02-0G-00256</t>
  </si>
  <si>
    <t>02-0G-00257</t>
  </si>
  <si>
    <t>02-0G-00259</t>
  </si>
  <si>
    <t>02-0G-00260</t>
  </si>
  <si>
    <t>02-0G-00261</t>
  </si>
  <si>
    <t>02-0G-00262</t>
  </si>
  <si>
    <t>02-0G-00263</t>
  </si>
  <si>
    <t>02-0G-00264</t>
  </si>
  <si>
    <t>02-0G-00265</t>
  </si>
  <si>
    <t>02-0G-00268</t>
  </si>
  <si>
    <t>02-0G-00269</t>
  </si>
  <si>
    <t>02-0G-00270</t>
  </si>
  <si>
    <t>02-0G-00271</t>
  </si>
  <si>
    <t>02-0G-00273</t>
  </si>
  <si>
    <t>02-0G-00274</t>
  </si>
  <si>
    <t>02-0G-00275</t>
  </si>
  <si>
    <t>02-0G-00276</t>
  </si>
  <si>
    <t>02-0G-00277</t>
  </si>
  <si>
    <t>02-0G-00278</t>
  </si>
  <si>
    <t>02-0G-00279</t>
  </si>
  <si>
    <t>02-0G-00280</t>
  </si>
  <si>
    <t>02-0G-00281</t>
  </si>
  <si>
    <t>02-0G-00282</t>
  </si>
  <si>
    <t>02-0G-00283</t>
  </si>
  <si>
    <t>02-0G-00284</t>
  </si>
  <si>
    <t>02-0G-00285</t>
  </si>
  <si>
    <t>02-0G-00297</t>
  </si>
  <si>
    <t>02-0G-00298</t>
  </si>
  <si>
    <t>02-0G-00300</t>
  </si>
  <si>
    <t>02-0G-00302</t>
  </si>
  <si>
    <t>02-0G-00303</t>
  </si>
  <si>
    <t>02-0G-00304</t>
  </si>
  <si>
    <t>02-0G-00305</t>
  </si>
  <si>
    <t>02-0G-00306</t>
  </si>
  <si>
    <t>02-0G-00307</t>
  </si>
  <si>
    <t>02-0G-00308</t>
  </si>
  <si>
    <t>02-0G-00309</t>
  </si>
  <si>
    <t>02-0G-00310</t>
  </si>
  <si>
    <t>02-0G-00312</t>
  </si>
  <si>
    <t>02-0G-00314</t>
  </si>
  <si>
    <t>02-0G-00316</t>
  </si>
  <si>
    <t>02-0G-00320</t>
  </si>
  <si>
    <t>02-0G-00322</t>
  </si>
  <si>
    <t>02-0G-00323</t>
  </si>
  <si>
    <t>02-0G-00325</t>
  </si>
  <si>
    <t>02-0G-00326</t>
  </si>
  <si>
    <t>02-0G-00327</t>
  </si>
  <si>
    <t>02-0G-00328</t>
  </si>
  <si>
    <t>02-0G-00329</t>
  </si>
  <si>
    <t>02-0G-00335</t>
  </si>
  <si>
    <t>02-0G-00336</t>
  </si>
  <si>
    <t>02-0G-00337</t>
  </si>
  <si>
    <t>02-0G-00338</t>
  </si>
  <si>
    <t>02-0G-00339</t>
  </si>
  <si>
    <t>02-0G-00340</t>
  </si>
  <si>
    <t>02-0G-00341</t>
  </si>
  <si>
    <t>02-0G-00344</t>
  </si>
  <si>
    <t>02-0G-00345</t>
  </si>
  <si>
    <t>02-0G-00346</t>
  </si>
  <si>
    <t>02-0G-00347</t>
  </si>
  <si>
    <t>02-0G-00348</t>
  </si>
  <si>
    <t>02-0G-00349</t>
  </si>
  <si>
    <t>02-0G-00354</t>
  </si>
  <si>
    <t>02-0G-00355</t>
  </si>
  <si>
    <t>02-0G-00356</t>
  </si>
  <si>
    <t>02-0G-00357</t>
  </si>
  <si>
    <t>02-0G-00359</t>
  </si>
  <si>
    <t>02-0G-00360</t>
  </si>
  <si>
    <t>02-0G-00361</t>
  </si>
  <si>
    <t>02-0G-00362</t>
  </si>
  <si>
    <t>02-0G-00363</t>
  </si>
  <si>
    <t>02-0G-00364</t>
  </si>
  <si>
    <t>02-0G-00365</t>
  </si>
  <si>
    <t>02-0G-00366</t>
  </si>
  <si>
    <t>02-0G-00368</t>
  </si>
  <si>
    <t>02-0G-00370</t>
  </si>
  <si>
    <t>02-0G-00371</t>
  </si>
  <si>
    <t>02-0G-00372</t>
  </si>
  <si>
    <t>02-0G-00373</t>
  </si>
  <si>
    <t>02-0G-00374</t>
  </si>
  <si>
    <t>02-0G-00375</t>
  </si>
  <si>
    <t>02-0G-00376</t>
  </si>
  <si>
    <t>02-0G-00378</t>
  </si>
  <si>
    <t>02-0G-00379</t>
  </si>
  <si>
    <t>02-0G-00380</t>
  </si>
  <si>
    <t>02-0G-00381</t>
  </si>
  <si>
    <t>02-0G-00382</t>
  </si>
  <si>
    <t>02-0G-00383</t>
  </si>
  <si>
    <t>02-0G-00384</t>
  </si>
  <si>
    <t>02-0G-00386</t>
  </si>
  <si>
    <t>02-0G-00387</t>
  </si>
  <si>
    <t>02-0G-00388</t>
  </si>
  <si>
    <t>02-0G-00389</t>
  </si>
  <si>
    <t>02-0G-00390</t>
  </si>
  <si>
    <t>02-0G-00391</t>
  </si>
  <si>
    <t>02-0G-00392</t>
  </si>
  <si>
    <t>02-0G-00393</t>
  </si>
  <si>
    <t>02-0G-00394</t>
  </si>
  <si>
    <t>02-0G-00395</t>
  </si>
  <si>
    <t>02-0G-00396</t>
  </si>
  <si>
    <t>02-0G-00399</t>
  </si>
  <si>
    <t>02-0G-00400</t>
  </si>
  <si>
    <t>02-0G-00401</t>
  </si>
  <si>
    <t>02-0G-00403</t>
  </si>
  <si>
    <t>02-0G-00404</t>
  </si>
  <si>
    <t>02-0G-00406</t>
  </si>
  <si>
    <t>02-0G-00407</t>
  </si>
  <si>
    <t>02-0G-00408</t>
  </si>
  <si>
    <t>02-0G-00409</t>
  </si>
  <si>
    <t>02-0G-00410</t>
  </si>
  <si>
    <t>02-0G-00412</t>
  </si>
  <si>
    <t>02-0G-00413</t>
  </si>
  <si>
    <t>02-0G-00414</t>
  </si>
  <si>
    <t>02-0G-00415</t>
  </si>
  <si>
    <t>02-0G-00416</t>
  </si>
  <si>
    <t>02-0G-00417</t>
  </si>
  <si>
    <t>02-0G-00419</t>
  </si>
  <si>
    <t>02-0G-00422</t>
  </si>
  <si>
    <t>02-0G-00429</t>
  </si>
  <si>
    <t>02-0G-00434</t>
  </si>
  <si>
    <t>02-0G-00435</t>
  </si>
  <si>
    <t>02-0G-00436</t>
  </si>
  <si>
    <t>02-0G-00437</t>
  </si>
  <si>
    <t>02-0G-00438</t>
  </si>
  <si>
    <t>02-0G-00439</t>
  </si>
  <si>
    <t>02-0G-00440</t>
  </si>
  <si>
    <t>02-0G-00441</t>
  </si>
  <si>
    <t>02-0G-00442</t>
  </si>
  <si>
    <t>02-0G-00443</t>
  </si>
  <si>
    <t>02-0G-00444</t>
  </si>
  <si>
    <t>02-0G-00445</t>
  </si>
  <si>
    <t>02-0G-00446</t>
  </si>
  <si>
    <t>02-0G-00447</t>
  </si>
  <si>
    <t>02-0G-00448</t>
  </si>
  <si>
    <t>02-0G-00449</t>
  </si>
  <si>
    <t>02-0G-00450</t>
  </si>
  <si>
    <t>02-0G-00451</t>
  </si>
  <si>
    <t>02-0G-00452</t>
  </si>
  <si>
    <t>02-0G-00454</t>
  </si>
  <si>
    <t>02-0G-00455</t>
  </si>
  <si>
    <t>02-0G-00458</t>
  </si>
  <si>
    <t>02-0G-00459</t>
  </si>
  <si>
    <t>02-0G-00460</t>
  </si>
  <si>
    <t>02-0G-00461</t>
  </si>
  <si>
    <t>02-0G-00462</t>
  </si>
  <si>
    <t>02-0G-00463</t>
  </si>
  <si>
    <t>02-0G-00464</t>
  </si>
  <si>
    <t>02-0G-00465</t>
  </si>
  <si>
    <t>02-0G-00466</t>
  </si>
  <si>
    <t>02-0G-00467</t>
  </si>
  <si>
    <t>02-0G-00468</t>
  </si>
  <si>
    <t>02-0G-00469</t>
  </si>
  <si>
    <t>02-0G-00470</t>
  </si>
  <si>
    <t>02-0G-00471</t>
  </si>
  <si>
    <t>02-0G-00472</t>
  </si>
  <si>
    <t>02-0G-00473</t>
  </si>
  <si>
    <t>02-0G-00474</t>
  </si>
  <si>
    <t>02-0G-00475</t>
  </si>
  <si>
    <t>02-0G-00476</t>
  </si>
  <si>
    <t>02-0G-00477</t>
  </si>
  <si>
    <t>02-0G-00478</t>
  </si>
  <si>
    <t>02-0G-00479</t>
  </si>
  <si>
    <t>02-0G-00480</t>
  </si>
  <si>
    <t>02-0G-00481</t>
  </si>
  <si>
    <t>02-0G-00482</t>
  </si>
  <si>
    <t>02-0G-00483</t>
  </si>
  <si>
    <t>02-0G-00484</t>
  </si>
  <si>
    <t>02-0G-00485</t>
  </si>
  <si>
    <t>02-0G-00486</t>
  </si>
  <si>
    <t>02-0G-00487</t>
  </si>
  <si>
    <t>02-0G-00490</t>
  </si>
  <si>
    <t>02-0G-00492</t>
  </si>
  <si>
    <t>02-0G-00493</t>
  </si>
  <si>
    <t>02-0G-00494</t>
  </si>
  <si>
    <t>02-0G-00495</t>
  </si>
  <si>
    <t>02-0G-00496</t>
  </si>
  <si>
    <t>02-0G-00497</t>
  </si>
  <si>
    <t>02-0G-00498</t>
  </si>
  <si>
    <t>02-0G-00503</t>
  </si>
  <si>
    <t>02-0G-00504</t>
  </si>
  <si>
    <t>02-0G-00505</t>
  </si>
  <si>
    <t>02-0G-00506</t>
  </si>
  <si>
    <t>02-0G-00507</t>
  </si>
  <si>
    <t>02-0G-00508</t>
  </si>
  <si>
    <t>02-0G-00509</t>
  </si>
  <si>
    <t>02-0G-00510</t>
  </si>
  <si>
    <t>02-0G-00511</t>
  </si>
  <si>
    <t>02-0G-00514</t>
  </si>
  <si>
    <t>02-0G-00516</t>
  </si>
  <si>
    <t>02-0G-00517</t>
  </si>
  <si>
    <t>02-0G-00518</t>
  </si>
  <si>
    <t>02-0G-00519</t>
  </si>
  <si>
    <t>02-0G-00520</t>
  </si>
  <si>
    <t>02-0G-00521</t>
  </si>
  <si>
    <t>02-0G-00522</t>
  </si>
  <si>
    <t>02-0G-00523</t>
  </si>
  <si>
    <t>02-0G-00526</t>
  </si>
  <si>
    <t>02-0G-00527</t>
  </si>
  <si>
    <t>02-0G-00528</t>
  </si>
  <si>
    <t>02-0G-00529</t>
  </si>
  <si>
    <t>02-0G-00530</t>
  </si>
  <si>
    <t>02-0G-00531</t>
  </si>
  <si>
    <t>02-0G-00532</t>
  </si>
  <si>
    <t>02-0G-00533</t>
  </si>
  <si>
    <t>02-0G-00534</t>
  </si>
  <si>
    <t>02-0G-00535</t>
  </si>
  <si>
    <t>02-0G-00536</t>
  </si>
  <si>
    <t>02-0G-00537</t>
  </si>
  <si>
    <t>02-0G-00538</t>
  </si>
  <si>
    <t>02-0G-00539</t>
  </si>
  <si>
    <t>02-0G-00540</t>
  </si>
  <si>
    <t>02-0G-00541</t>
  </si>
  <si>
    <t>02-0G-00542</t>
  </si>
  <si>
    <t>02-0G-00543</t>
  </si>
  <si>
    <t>02-0G-00544</t>
  </si>
  <si>
    <t>02-0G-00545</t>
  </si>
  <si>
    <t>02-0G-00546</t>
  </si>
  <si>
    <t>02-0G-00547</t>
  </si>
  <si>
    <t>02-0G-00550</t>
  </si>
  <si>
    <t>02-0G-00551</t>
  </si>
  <si>
    <t>02-0G-00552</t>
  </si>
  <si>
    <t>02-0G-00553</t>
  </si>
  <si>
    <t>02-0G-00554</t>
  </si>
  <si>
    <t>02-0G-00555</t>
  </si>
  <si>
    <t>02-0G-00556</t>
  </si>
  <si>
    <t>02-0G-00557</t>
  </si>
  <si>
    <t>02-0G-00558</t>
  </si>
  <si>
    <t>02-0G-00559</t>
  </si>
  <si>
    <t>02-0G-00560</t>
  </si>
  <si>
    <t>02-0G-00561</t>
  </si>
  <si>
    <t>02-0G-00562</t>
  </si>
  <si>
    <t>02-0G-00563</t>
  </si>
  <si>
    <t>02-0G-00564</t>
  </si>
  <si>
    <t>02-0G-00566</t>
  </si>
  <si>
    <t>02-0G-00567</t>
  </si>
  <si>
    <t>02-0G-00568</t>
  </si>
  <si>
    <t>02-0G-00569</t>
  </si>
  <si>
    <t>02-0G-00570</t>
  </si>
  <si>
    <t>02-0G-00571</t>
  </si>
  <si>
    <t>02-0G-00572</t>
  </si>
  <si>
    <t>02-0G-00573</t>
  </si>
  <si>
    <t>02-0G-00574</t>
  </si>
  <si>
    <t>02-0G-00575</t>
  </si>
  <si>
    <t>02-0G-00576</t>
  </si>
  <si>
    <t>02-0G-00577</t>
  </si>
  <si>
    <t>02-0G-00578</t>
  </si>
  <si>
    <t>02-0G-00579</t>
  </si>
  <si>
    <t>02-0G-00580</t>
  </si>
  <si>
    <t>02-0G-00581</t>
  </si>
  <si>
    <t>02-0G-00583</t>
  </si>
  <si>
    <t>02-0G-00584</t>
  </si>
  <si>
    <t>02-0G-00585</t>
  </si>
  <si>
    <t>02-0G-00586</t>
  </si>
  <si>
    <t>02-0G-00587</t>
  </si>
  <si>
    <t>02-0G-00588</t>
  </si>
  <si>
    <t>02-0G-00589</t>
  </si>
  <si>
    <t>02-0G-00590</t>
  </si>
  <si>
    <t>02-0G-00591</t>
  </si>
  <si>
    <t>02-0G-00592</t>
  </si>
  <si>
    <t>02-0G-00593</t>
  </si>
  <si>
    <t>02-0G-00594</t>
  </si>
  <si>
    <t>02-0G-00595</t>
  </si>
  <si>
    <t>02-0G-00596</t>
  </si>
  <si>
    <t>02-0G-00597</t>
  </si>
  <si>
    <t>02-0G-00598</t>
  </si>
  <si>
    <t>02-0G-00599</t>
  </si>
  <si>
    <t>02-0G-00600</t>
  </si>
  <si>
    <t>02-0G-00602</t>
  </si>
  <si>
    <t>02-0G-00603</t>
  </si>
  <si>
    <t>02-0G-00604</t>
  </si>
  <si>
    <t>02-0G-00605</t>
  </si>
  <si>
    <t>02-0G-00606</t>
  </si>
  <si>
    <t>02-0G-00607</t>
  </si>
  <si>
    <t>02-0G-00616</t>
  </si>
  <si>
    <t>02-0G-00617</t>
  </si>
  <si>
    <t>02-0G-00618</t>
  </si>
  <si>
    <t>02-0G-00619</t>
  </si>
  <si>
    <t>02-0G-00620</t>
  </si>
  <si>
    <t>02-0G-00621</t>
  </si>
  <si>
    <t>02-0G-00622</t>
  </si>
  <si>
    <t>02-0G-00623</t>
  </si>
  <si>
    <t>02-0G-00625</t>
  </si>
  <si>
    <t>02-0G-00628</t>
  </si>
  <si>
    <t>02-0G-00629</t>
  </si>
  <si>
    <t>02-0G-00630</t>
  </si>
  <si>
    <t>02-0G-00631</t>
  </si>
  <si>
    <t>02-0G-00632</t>
  </si>
  <si>
    <t>02-0G-00633</t>
  </si>
  <si>
    <t>02-0G-00634</t>
  </si>
  <si>
    <t>02-0G-00635</t>
  </si>
  <si>
    <t>02-0G-00636</t>
  </si>
  <si>
    <t>02-0G-00637</t>
  </si>
  <si>
    <t>02-0G-00638</t>
  </si>
  <si>
    <t>02-0G-00639</t>
  </si>
  <si>
    <t>02-0G-00640</t>
  </si>
  <si>
    <t>02-0G-00641</t>
  </si>
  <si>
    <t>02-0G-00642</t>
  </si>
  <si>
    <t>02-0G-00643</t>
  </si>
  <si>
    <t>02-0G-00644</t>
  </si>
  <si>
    <t>02-0G-00645</t>
  </si>
  <si>
    <t>02-0G-00646</t>
  </si>
  <si>
    <t>02-0G-00647</t>
  </si>
  <si>
    <t>02-0G-00648</t>
  </si>
  <si>
    <t>02-0G-00649</t>
  </si>
  <si>
    <t>02-0G-00650</t>
  </si>
  <si>
    <t>02-0G-00651</t>
  </si>
  <si>
    <t>02-0G-00652</t>
  </si>
  <si>
    <t>02-0G-00653</t>
  </si>
  <si>
    <t>02-0G-00654</t>
  </si>
  <si>
    <t>02-0G-00655</t>
  </si>
  <si>
    <t>02-0G-00656</t>
  </si>
  <si>
    <t>02-0G-00657</t>
  </si>
  <si>
    <t>02-0G-00658</t>
  </si>
  <si>
    <t>02-0G-00659</t>
  </si>
  <si>
    <t>02-0G-00660</t>
  </si>
  <si>
    <t>02-0G-00661</t>
  </si>
  <si>
    <t>02-0G-00662</t>
  </si>
  <si>
    <t>02-0G-00663</t>
  </si>
  <si>
    <t>02-0G-00664</t>
  </si>
  <si>
    <t>02-0G-00665</t>
  </si>
  <si>
    <t>02-0G-00666</t>
  </si>
  <si>
    <t>02-0G-00667</t>
  </si>
  <si>
    <t>02-0G-00668</t>
  </si>
  <si>
    <t>02-0G-00669</t>
  </si>
  <si>
    <t>02-0G-00670</t>
  </si>
  <si>
    <t>02-0G-00671</t>
  </si>
  <si>
    <t>02-0G-00672</t>
  </si>
  <si>
    <t>02-0G-00673</t>
  </si>
  <si>
    <t>02-0G-00674</t>
  </si>
  <si>
    <t>02-0G-00675</t>
  </si>
  <si>
    <t>02-0G-00676</t>
  </si>
  <si>
    <t>02-0G-00677</t>
  </si>
  <si>
    <t>02-0G-00678</t>
  </si>
  <si>
    <t>02-0G-00679</t>
  </si>
  <si>
    <t>02-0G-00680</t>
  </si>
  <si>
    <t>02-0G-00681</t>
  </si>
  <si>
    <t>02-0G-00682</t>
  </si>
  <si>
    <t>02-0G-00683</t>
  </si>
  <si>
    <t>02-0G-00684</t>
  </si>
  <si>
    <t>02-0G-00685</t>
  </si>
  <si>
    <t>02-0G-00686</t>
  </si>
  <si>
    <t>02-0G-00687</t>
  </si>
  <si>
    <t>02-0G-00688</t>
  </si>
  <si>
    <t>02-0G-00689</t>
  </si>
  <si>
    <t>02-0G-00690</t>
  </si>
  <si>
    <t>02-0G-00691</t>
  </si>
  <si>
    <t>02-0G-00692</t>
  </si>
  <si>
    <t>02-0G-00693</t>
  </si>
  <si>
    <t>02-0G-00694</t>
  </si>
  <si>
    <t>02-0G-00695</t>
  </si>
  <si>
    <t>02-0G-00696</t>
  </si>
  <si>
    <t>02-0G-00697</t>
  </si>
  <si>
    <t>02-0G-00698</t>
  </si>
  <si>
    <t>02-0G-00699</t>
  </si>
  <si>
    <t>02-0G-00700</t>
  </si>
  <si>
    <t>02-0G-00701</t>
  </si>
  <si>
    <t>02-0G-00702</t>
  </si>
  <si>
    <t>02-0G-00703</t>
  </si>
  <si>
    <t>02-0G-00704</t>
  </si>
  <si>
    <t>02-0G-00705</t>
  </si>
  <si>
    <t>02-0G-00706</t>
  </si>
  <si>
    <t>02-0G-00707</t>
  </si>
  <si>
    <t>02-0G-00708</t>
  </si>
  <si>
    <t>02-0G-00709</t>
  </si>
  <si>
    <t>02-0G-00710</t>
  </si>
  <si>
    <t>02-0G-00711</t>
  </si>
  <si>
    <t>02-0G-00712</t>
  </si>
  <si>
    <t>02-0G-00713</t>
  </si>
  <si>
    <t>02-0G-00714</t>
  </si>
  <si>
    <t>02-0G-00715</t>
  </si>
  <si>
    <t>02-0G-00716</t>
  </si>
  <si>
    <t>02-0G-00717</t>
  </si>
  <si>
    <t>02-0G-00718</t>
  </si>
  <si>
    <t>02-0G-00719</t>
  </si>
  <si>
    <t>02-0G-00720</t>
  </si>
  <si>
    <t>02-0G-00721</t>
  </si>
  <si>
    <t>02-0G-00722</t>
  </si>
  <si>
    <t>02-0G-00723</t>
  </si>
  <si>
    <t>02-0G-00724</t>
  </si>
  <si>
    <t>02-0G-00725</t>
  </si>
  <si>
    <t>02-0G-00726</t>
  </si>
  <si>
    <t>02-0G-00727</t>
  </si>
  <si>
    <t>02-0G-00728</t>
  </si>
  <si>
    <t>02-0G-00729</t>
  </si>
  <si>
    <t>02-0G-00730</t>
  </si>
  <si>
    <t>02-0G-00731</t>
  </si>
  <si>
    <t>02-0G-00732</t>
  </si>
  <si>
    <t>02-0G-00733</t>
  </si>
  <si>
    <t>02-0G-00734</t>
  </si>
  <si>
    <t>02-0G-00735</t>
  </si>
  <si>
    <t>02-0G-00736</t>
  </si>
  <si>
    <t>02-0G-00737</t>
  </si>
  <si>
    <t>02-0G-00738</t>
  </si>
  <si>
    <t>02-0G-00739</t>
  </si>
  <si>
    <t>02-0G-00740</t>
  </si>
  <si>
    <t>02-0G-00741</t>
  </si>
  <si>
    <t>02-0G-00742</t>
  </si>
  <si>
    <t>02-0G-00743</t>
  </si>
  <si>
    <t>02-0G-00744</t>
  </si>
  <si>
    <t>02-0G-00745</t>
  </si>
  <si>
    <t>02-0G-00746</t>
  </si>
  <si>
    <t>02-0G-00747</t>
  </si>
  <si>
    <t>02-0G-00748</t>
  </si>
  <si>
    <t>02-0G-00749</t>
  </si>
  <si>
    <t>02-0G-00750</t>
  </si>
  <si>
    <t>02-0G-00751</t>
  </si>
  <si>
    <t>02-0G-00752</t>
  </si>
  <si>
    <t>02-0G-00753</t>
  </si>
  <si>
    <t>02-0G-00754</t>
  </si>
  <si>
    <t>02-0G-00755</t>
  </si>
  <si>
    <t>02-0G-00756</t>
  </si>
  <si>
    <t>02-0G-00757</t>
  </si>
  <si>
    <t>02-0G-00758</t>
  </si>
  <si>
    <t>02-0G-00759</t>
  </si>
  <si>
    <t>02-0G-00760</t>
  </si>
  <si>
    <t>02-0G-00761</t>
  </si>
  <si>
    <t>02-0G-00762</t>
  </si>
  <si>
    <t>02-0G-00763</t>
  </si>
  <si>
    <t>02-0G-00764</t>
  </si>
  <si>
    <t>02-0G-00765</t>
  </si>
  <si>
    <t>02-0G-00766</t>
  </si>
  <si>
    <t>02-0G-00767</t>
  </si>
  <si>
    <t>02-0G-00768</t>
  </si>
  <si>
    <t>02-0G-00769</t>
  </si>
  <si>
    <t>02-0G-00770</t>
  </si>
  <si>
    <t>02-0G-00771</t>
  </si>
  <si>
    <t>02-0G-00772</t>
  </si>
  <si>
    <t>02-0G-00773</t>
  </si>
  <si>
    <t>02-0G-00774</t>
  </si>
  <si>
    <t>02-0G-00775</t>
  </si>
  <si>
    <t>02-0G-00776</t>
  </si>
  <si>
    <t>02-0G-00777</t>
  </si>
  <si>
    <t>02-0G-00778</t>
  </si>
  <si>
    <t>02-0G-00779</t>
  </si>
  <si>
    <t>02-0G-00780</t>
  </si>
  <si>
    <t>02-0G-00781</t>
  </si>
  <si>
    <t>02-0G-00782</t>
  </si>
  <si>
    <t>02-0G-00783</t>
  </si>
  <si>
    <t>02-0G-00784</t>
  </si>
  <si>
    <t>02-0G-00785</t>
  </si>
  <si>
    <t>02-0G-00786</t>
  </si>
  <si>
    <t>02-0G-00787</t>
  </si>
  <si>
    <t>02-0G-00788</t>
  </si>
  <si>
    <t>02-0G-00789</t>
  </si>
  <si>
    <t>02-0G-00790</t>
  </si>
  <si>
    <t>02-0G-00791</t>
  </si>
  <si>
    <t>02-0G-00792</t>
  </si>
  <si>
    <t>02-0G-00793</t>
  </si>
  <si>
    <t>02-0G-00794</t>
  </si>
  <si>
    <t>02-0G-00795</t>
  </si>
  <si>
    <t>02-0G-00796</t>
  </si>
  <si>
    <t>02-0G-00797</t>
  </si>
  <si>
    <t>02-0G-00798</t>
  </si>
  <si>
    <t>02-0G-00799</t>
  </si>
  <si>
    <t>02-0G-00800</t>
  </si>
  <si>
    <t>02-0G-00801</t>
  </si>
  <si>
    <t>02-0G-00802</t>
  </si>
  <si>
    <t>02-0G-00803</t>
  </si>
  <si>
    <t>02-0G-00804</t>
  </si>
  <si>
    <t>02-0G-00805</t>
  </si>
  <si>
    <t>02-0G-00806</t>
  </si>
  <si>
    <t>02-0G-00807</t>
  </si>
  <si>
    <t>02-0G-00808</t>
  </si>
  <si>
    <t>02-0G-00809</t>
  </si>
  <si>
    <t>02-0G-00810</t>
  </si>
  <si>
    <t>02-0G-00811</t>
  </si>
  <si>
    <t>02-0G-00812</t>
  </si>
  <si>
    <t>02-0G-00813</t>
  </si>
  <si>
    <t>02-0G-00814</t>
  </si>
  <si>
    <t>02-0G-00815</t>
  </si>
  <si>
    <t>02-0G-00816</t>
  </si>
  <si>
    <t>02-0G-00817</t>
  </si>
  <si>
    <t>02-0G-00818</t>
  </si>
  <si>
    <t>02-0G-00819</t>
  </si>
  <si>
    <t>02-0G-00820</t>
  </si>
  <si>
    <t>02-0G-00821</t>
  </si>
  <si>
    <t>02-0G-00822</t>
  </si>
  <si>
    <t>02-0G-00823</t>
  </si>
  <si>
    <t>02-0G-00824</t>
  </si>
  <si>
    <t>02-0G-00825</t>
  </si>
  <si>
    <t>02-0G-00826</t>
  </si>
  <si>
    <t>02-0G-00827</t>
  </si>
  <si>
    <t>02-0G-00828</t>
  </si>
  <si>
    <t>02-0G-00829</t>
  </si>
  <si>
    <t>02-0G-00830</t>
  </si>
  <si>
    <t>02-0G-00831</t>
  </si>
  <si>
    <t>02-0G-00832</t>
  </si>
  <si>
    <t>02-0G-00833</t>
  </si>
  <si>
    <t>02-0G-00834</t>
  </si>
  <si>
    <t>02-0G-00835</t>
  </si>
  <si>
    <t>02-0G-00836</t>
  </si>
  <si>
    <t>02-0G-00837</t>
  </si>
  <si>
    <t>02-0G-00838</t>
  </si>
  <si>
    <t>02-0G-00839</t>
  </si>
  <si>
    <t>02-0G-00840</t>
  </si>
  <si>
    <t>02-0G-00841</t>
  </si>
  <si>
    <t>02-0G-00842</t>
  </si>
  <si>
    <t>02-0G-00843</t>
  </si>
  <si>
    <t>02-0G-00844</t>
  </si>
  <si>
    <t>02-0G-00845</t>
  </si>
  <si>
    <t>02-0G-00846</t>
  </si>
  <si>
    <t>02-0G-00847</t>
  </si>
  <si>
    <t>02-0G-00848</t>
  </si>
  <si>
    <t>02-0G-00849</t>
  </si>
  <si>
    <t>02-0G-00850</t>
  </si>
  <si>
    <t>02-0G-00851</t>
  </si>
  <si>
    <t>02-0G-00852</t>
  </si>
  <si>
    <t>02-0G-00853</t>
  </si>
  <si>
    <t>02-0G-00854</t>
  </si>
  <si>
    <t>02-0G-00855</t>
  </si>
  <si>
    <t>02-0G-00856</t>
  </si>
  <si>
    <t>02-0G-00857</t>
  </si>
  <si>
    <t>02-0G-00858</t>
  </si>
  <si>
    <t>02-0G-00859</t>
  </si>
  <si>
    <t>02-0G-00860</t>
  </si>
  <si>
    <t>02-0G-00861</t>
  </si>
  <si>
    <t>02-0G-00862</t>
  </si>
  <si>
    <t>02-0G-00863</t>
  </si>
  <si>
    <t>02-0G-00864</t>
  </si>
  <si>
    <t>02-0G-00865</t>
  </si>
  <si>
    <t>02-0G-00866</t>
  </si>
  <si>
    <t>02-0G-00867</t>
  </si>
  <si>
    <t>02-0G-00868</t>
  </si>
  <si>
    <t>02-0G-00869</t>
  </si>
  <si>
    <t>02-0G-00870</t>
  </si>
  <si>
    <t>02-0G-00871</t>
  </si>
  <si>
    <t>02-0G-00872</t>
  </si>
  <si>
    <t>02-0G-00873</t>
  </si>
  <si>
    <t>02-0G-00874</t>
  </si>
  <si>
    <t>02-0G-00875</t>
  </si>
  <si>
    <t>02-0G-00876</t>
  </si>
  <si>
    <t>02-0G-00877</t>
  </si>
  <si>
    <t>02-0G-00878</t>
  </si>
  <si>
    <t>02-0G-00879</t>
  </si>
  <si>
    <t>02-0G-00880</t>
  </si>
  <si>
    <t>02-0G-00881</t>
  </si>
  <si>
    <t>02-0G-00882</t>
  </si>
  <si>
    <t>02-0G-00883</t>
  </si>
  <si>
    <t>02-0G-00884</t>
  </si>
  <si>
    <t>02-0G-00885</t>
  </si>
  <si>
    <t>02-0G-00886</t>
  </si>
  <si>
    <t>02-0G-00887</t>
  </si>
  <si>
    <t>02-0G-00888</t>
  </si>
  <si>
    <t>02-0G-00889</t>
  </si>
  <si>
    <t>02-0G-00890</t>
  </si>
  <si>
    <t>02-0G-00891</t>
  </si>
  <si>
    <t>02-0G-00892</t>
  </si>
  <si>
    <t>02-0G-00893</t>
  </si>
  <si>
    <t>02-0G-00894</t>
  </si>
  <si>
    <t>02-0G-00895</t>
  </si>
  <si>
    <t>02-0G-00896</t>
  </si>
  <si>
    <t>02-0G-00897</t>
  </si>
  <si>
    <t>02-0G-00898</t>
  </si>
  <si>
    <t>02-0G-00899</t>
  </si>
  <si>
    <t>02-0G-00900</t>
  </si>
  <si>
    <t>02-0G-00901</t>
  </si>
  <si>
    <t>02-0G-00902</t>
  </si>
  <si>
    <t>02-0G-00903</t>
  </si>
  <si>
    <t>02-0G-00904</t>
  </si>
  <si>
    <t>02-0G-00905</t>
  </si>
  <si>
    <t>02-0G-00906</t>
  </si>
  <si>
    <t>02-0G-00907</t>
  </si>
  <si>
    <t>02-0G-00908</t>
  </si>
  <si>
    <t>02-0G-00909</t>
  </si>
  <si>
    <t>02-0G-00910</t>
  </si>
  <si>
    <t>02-0G-00911</t>
  </si>
  <si>
    <t>02-0G-00912</t>
  </si>
  <si>
    <t>02-0G-00913</t>
  </si>
  <si>
    <t>02-0G-00914</t>
  </si>
  <si>
    <t>02-0G-00915</t>
  </si>
  <si>
    <t>02-0G-00916</t>
  </si>
  <si>
    <t>02-0G-00917</t>
  </si>
  <si>
    <t>02-0G-00918</t>
  </si>
  <si>
    <t>02-0G-00919</t>
  </si>
  <si>
    <t>02-0G-00920</t>
  </si>
  <si>
    <t>02-0G-00921</t>
  </si>
  <si>
    <t>02-0G-00922</t>
  </si>
  <si>
    <t>02-0G-00923</t>
  </si>
  <si>
    <t>02-0G-00924</t>
  </si>
  <si>
    <t>02-0G-00925</t>
  </si>
  <si>
    <t>02-0G-00926</t>
  </si>
  <si>
    <t>02-0G-00927</t>
  </si>
  <si>
    <t>02-0G-00928</t>
  </si>
  <si>
    <t>02-0G-00929</t>
  </si>
  <si>
    <t>02-0G-00930</t>
  </si>
  <si>
    <t>02-0G-00931</t>
  </si>
  <si>
    <t>02-0G-00932</t>
  </si>
  <si>
    <t>02-0G-00933</t>
  </si>
  <si>
    <t>02-0G-00934</t>
  </si>
  <si>
    <t>02-0G-00935</t>
  </si>
  <si>
    <t>02-0G-00936</t>
  </si>
  <si>
    <t>02-0G-00937</t>
  </si>
  <si>
    <t>02-0G-00938</t>
  </si>
  <si>
    <t>02-0G-00939</t>
  </si>
  <si>
    <t>02-0G-00940</t>
  </si>
  <si>
    <t>02-0G-00941</t>
  </si>
  <si>
    <t>02-0G-00942</t>
  </si>
  <si>
    <t>02-0G-00943</t>
  </si>
  <si>
    <t>02-0G-00944</t>
  </si>
  <si>
    <t>02-0G-00945</t>
  </si>
  <si>
    <t>02-0G-00948</t>
  </si>
  <si>
    <t>02-0G-00949</t>
  </si>
  <si>
    <t>02-0G-00950</t>
  </si>
  <si>
    <t>02-0G-00951</t>
  </si>
  <si>
    <t>02-0G-00952</t>
  </si>
  <si>
    <t>02-0G-00953</t>
  </si>
  <si>
    <t>02-0G-00954</t>
  </si>
  <si>
    <t>02-0G-00955</t>
  </si>
  <si>
    <t>02-0G-00956</t>
  </si>
  <si>
    <t>02-0G-00957</t>
  </si>
  <si>
    <t>02-0G-00958</t>
  </si>
  <si>
    <t>02-0G-00959</t>
  </si>
  <si>
    <t>02-0G-00960</t>
  </si>
  <si>
    <t>02-0G-00961</t>
  </si>
  <si>
    <t>02-0G-00962</t>
  </si>
  <si>
    <t>02-0G-00963</t>
  </si>
  <si>
    <t>02-0G-00964</t>
  </si>
  <si>
    <t>02-0G-00965</t>
  </si>
  <si>
    <t>02-0G-00966</t>
  </si>
  <si>
    <t>02-0G-00967</t>
  </si>
  <si>
    <t>02-0G-00968</t>
  </si>
  <si>
    <t>02-0G-00969</t>
  </si>
  <si>
    <t>02-0G-00970</t>
  </si>
  <si>
    <t>02-0G-00971</t>
  </si>
  <si>
    <t>02-0G-00972</t>
  </si>
  <si>
    <t>02-0G-00973</t>
  </si>
  <si>
    <t>02-0G-00975</t>
  </si>
  <si>
    <t>02-0G-00976</t>
  </si>
  <si>
    <t>02-0G-00977</t>
  </si>
  <si>
    <t>02-0G-00978</t>
  </si>
  <si>
    <t>02-0G-00979</t>
  </si>
  <si>
    <t>02-0G-00980</t>
  </si>
  <si>
    <t>02-0G-00981</t>
  </si>
  <si>
    <t>02-0G-00982</t>
  </si>
  <si>
    <t>02-0G-00983</t>
  </si>
  <si>
    <t>02-0G-00984</t>
  </si>
  <si>
    <t>02-0G-00985</t>
  </si>
  <si>
    <t>02-0G-00986</t>
  </si>
  <si>
    <t>02-0G-00987</t>
  </si>
  <si>
    <t>02-0G-00988</t>
  </si>
  <si>
    <t>02-0G-00989</t>
  </si>
  <si>
    <t>02-0G-00990</t>
  </si>
  <si>
    <t>02-0G-00991</t>
  </si>
  <si>
    <t>02-0G-00992</t>
  </si>
  <si>
    <t>02-0G-00993</t>
  </si>
  <si>
    <t>02-0G-00994</t>
  </si>
  <si>
    <t>02-0G-00995</t>
  </si>
  <si>
    <t>02-0G-00996</t>
  </si>
  <si>
    <t>02-0G-00997</t>
  </si>
  <si>
    <t>02-0G-00998</t>
  </si>
  <si>
    <t>02-0G-00999</t>
  </si>
  <si>
    <t>02-0G-01000</t>
  </si>
  <si>
    <t>02-0G-01001</t>
  </si>
  <si>
    <t>02-0G-01002</t>
  </si>
  <si>
    <t>02-0G-01003</t>
  </si>
  <si>
    <t>02-0G-01004</t>
  </si>
  <si>
    <t>02-0G-01005</t>
  </si>
  <si>
    <t>02-0G-01006</t>
  </si>
  <si>
    <t>02-0G-01007</t>
  </si>
  <si>
    <t>02-0G-01008</t>
  </si>
  <si>
    <t>02-0G-01009</t>
  </si>
  <si>
    <t>02-0G-01010</t>
  </si>
  <si>
    <t>02-0G-01011</t>
  </si>
  <si>
    <t>02-0G-01012</t>
  </si>
  <si>
    <t>02-0G-01013</t>
  </si>
  <si>
    <t>02-0G-01014</t>
  </si>
  <si>
    <t>02-0G-01015</t>
  </si>
  <si>
    <t>02-0G-01016</t>
  </si>
  <si>
    <t>02-0G-01017</t>
  </si>
  <si>
    <t>02-0G-01018</t>
  </si>
  <si>
    <t>02-0G-01019</t>
  </si>
  <si>
    <t>02-0G-01020</t>
  </si>
  <si>
    <t>02-0G-01021</t>
  </si>
  <si>
    <t>02-0G-01022</t>
  </si>
  <si>
    <t>02-0G-01023</t>
  </si>
  <si>
    <t>02-0G-01024</t>
  </si>
  <si>
    <t>02-0G-01025</t>
  </si>
  <si>
    <t>02-0G-01026</t>
  </si>
  <si>
    <t>02-0G-01027</t>
  </si>
  <si>
    <t>02-0G-01028</t>
  </si>
  <si>
    <t>02-0G-01029</t>
  </si>
  <si>
    <t>02-0G-01030</t>
  </si>
  <si>
    <t>02-0G-01031</t>
  </si>
  <si>
    <t>02-0G-01032</t>
  </si>
  <si>
    <t>02-0G-01033</t>
  </si>
  <si>
    <t>02-0G-01034</t>
  </si>
  <si>
    <t>02-0G-01035</t>
  </si>
  <si>
    <t>02-0G-01036</t>
  </si>
  <si>
    <t>02-0G-01037</t>
  </si>
  <si>
    <t>02-0G-01038</t>
  </si>
  <si>
    <t>02-0G-01039</t>
  </si>
  <si>
    <t>02-0G-01040</t>
  </si>
  <si>
    <t>02-0G-01041</t>
  </si>
  <si>
    <t>02-0G-01042</t>
  </si>
  <si>
    <t>02-0G-01043</t>
  </si>
  <si>
    <t>02-0G-01044</t>
  </si>
  <si>
    <t>02-0G-01045</t>
  </si>
  <si>
    <t>02-0G-01046</t>
  </si>
  <si>
    <t>02-0G-01047</t>
  </si>
  <si>
    <t>02-0G-01048</t>
  </si>
  <si>
    <t>02-0G-01049</t>
  </si>
  <si>
    <t>02-0G-01050</t>
  </si>
  <si>
    <t>02-0G-01051</t>
  </si>
  <si>
    <t>02-0G-01052</t>
  </si>
  <si>
    <t>02-0G-01053</t>
  </si>
  <si>
    <t>02-0G-01054</t>
  </si>
  <si>
    <t>02-0G-01055</t>
  </si>
  <si>
    <t>02-0G-01057</t>
  </si>
  <si>
    <t>02-0G-01058</t>
  </si>
  <si>
    <t>02-0G-01059</t>
  </si>
  <si>
    <t>02-0G-01060</t>
  </si>
  <si>
    <t>02-0G-01061</t>
  </si>
  <si>
    <t>02-0G-01062</t>
  </si>
  <si>
    <t>02-0G-01063</t>
  </si>
  <si>
    <t>02-0G-01064</t>
  </si>
  <si>
    <t>02-0G-01065</t>
  </si>
  <si>
    <t>02-0G-01066</t>
  </si>
  <si>
    <t>02-0G-01067</t>
  </si>
  <si>
    <t>02-0G-01068</t>
  </si>
  <si>
    <t>02-0G-01069</t>
  </si>
  <si>
    <t>02-0G-01070</t>
  </si>
  <si>
    <t>02-0G-01071</t>
  </si>
  <si>
    <t>02-0G-01072</t>
  </si>
  <si>
    <t>02-0G-01073</t>
  </si>
  <si>
    <t>02-0G-01074</t>
  </si>
  <si>
    <t>02-0G-01075</t>
  </si>
  <si>
    <t>02-0G-01076</t>
  </si>
  <si>
    <t>02-0G-01077</t>
  </si>
  <si>
    <t>02-0G-01078</t>
  </si>
  <si>
    <t>02-0G-01079</t>
  </si>
  <si>
    <t>02-0G-01080</t>
  </si>
  <si>
    <t>02-0G-01081</t>
  </si>
  <si>
    <t>02-0G-01082</t>
  </si>
  <si>
    <t>02-0G-01083</t>
  </si>
  <si>
    <t>02-0G-01084</t>
  </si>
  <si>
    <t>02-0G-01085</t>
  </si>
  <si>
    <t>02-0G-01086</t>
  </si>
  <si>
    <t>02-0G-01087</t>
  </si>
  <si>
    <t>02-0G-01088</t>
  </si>
  <si>
    <t>02-0G-01089</t>
  </si>
  <si>
    <t>02-0G-01090</t>
  </si>
  <si>
    <t>02-0G-01091</t>
  </si>
  <si>
    <t>02-0G-01092</t>
  </si>
  <si>
    <t>02-0G-01093</t>
  </si>
  <si>
    <t>02-0G-01094</t>
  </si>
  <si>
    <t>02-0G-01095</t>
  </si>
  <si>
    <t>02-0G-01096</t>
  </si>
  <si>
    <t>02-0G-01097</t>
  </si>
  <si>
    <t>02-0G-01098</t>
  </si>
  <si>
    <t>02-0G-01099</t>
  </si>
  <si>
    <t>02-0G-01100</t>
  </si>
  <si>
    <t>02-0G-01101</t>
  </si>
  <si>
    <t>02-0G-01102</t>
  </si>
  <si>
    <t>02-0G-01103</t>
  </si>
  <si>
    <t>02-0G-01104</t>
  </si>
  <si>
    <t>02-0G-01105</t>
  </si>
  <si>
    <t>02-0G-01106</t>
  </si>
  <si>
    <t>02-0G-01107</t>
  </si>
  <si>
    <t>02-0G-01108</t>
  </si>
  <si>
    <t>02-0G-01109</t>
  </si>
  <si>
    <t>02-0G-01110</t>
  </si>
  <si>
    <t>02-0G-01111</t>
  </si>
  <si>
    <t>02-0G-01112</t>
  </si>
  <si>
    <t>02-0G-01113</t>
  </si>
  <si>
    <t>02-0G-01114</t>
  </si>
  <si>
    <t>02-0G-01115</t>
  </si>
  <si>
    <t>02-0G-01116</t>
  </si>
  <si>
    <t>02-0G-01117</t>
  </si>
  <si>
    <t>02-0G-01118</t>
  </si>
  <si>
    <t>02-0G-01119</t>
  </si>
  <si>
    <t>02-0G-01120</t>
  </si>
  <si>
    <t>02-0G-01121</t>
  </si>
  <si>
    <t>02-0G-01122</t>
  </si>
  <si>
    <t>02-0G-01123</t>
  </si>
  <si>
    <t>02-0G-01124</t>
  </si>
  <si>
    <t>02-0G-01125</t>
  </si>
  <si>
    <t>02-0G-01126</t>
  </si>
  <si>
    <t>02-0G-01127</t>
  </si>
  <si>
    <t>02-0G-01128</t>
  </si>
  <si>
    <t>02-0G-01129</t>
  </si>
  <si>
    <t>02-0G-01130</t>
  </si>
  <si>
    <t>02-0G-01131</t>
  </si>
  <si>
    <t>02-0G-01132</t>
  </si>
  <si>
    <t>02-0G-01133</t>
  </si>
  <si>
    <t>02-0G-01134</t>
  </si>
  <si>
    <t>02-0G-01135</t>
  </si>
  <si>
    <t>02-0G-01136</t>
  </si>
  <si>
    <t>02-0G-01137</t>
  </si>
  <si>
    <t>02-0G-01138</t>
  </si>
  <si>
    <t>02-0G-01139</t>
  </si>
  <si>
    <t>02-0G-01140</t>
  </si>
  <si>
    <t>02-0G-01141</t>
  </si>
  <si>
    <t>02-0G-01142</t>
  </si>
  <si>
    <t>02-0G-01143</t>
  </si>
  <si>
    <t>02-0G-01144</t>
  </si>
  <si>
    <t>02-0G-01145</t>
  </si>
  <si>
    <t>02-0G-01146</t>
  </si>
  <si>
    <t>02-0G-01147</t>
  </si>
  <si>
    <t>02-0G-01148</t>
  </si>
  <si>
    <t>02-0G-01149</t>
  </si>
  <si>
    <t>02-0G-01150</t>
  </si>
  <si>
    <t>02-0G-01151</t>
  </si>
  <si>
    <t>02-0G-01152</t>
  </si>
  <si>
    <t>02-0G-01153</t>
  </si>
  <si>
    <t>02-0G-01154</t>
  </si>
  <si>
    <t>02-0G-01155</t>
  </si>
  <si>
    <t>02-0G-01156</t>
  </si>
  <si>
    <t>02-0G-01157</t>
  </si>
  <si>
    <t>02-0G-01158</t>
  </si>
  <si>
    <t>02-0G-01159</t>
  </si>
  <si>
    <t>02-0G-01160</t>
  </si>
  <si>
    <t>02-0G-01161</t>
  </si>
  <si>
    <t>02-0G-01162</t>
  </si>
  <si>
    <t>02-0G-01163</t>
  </si>
  <si>
    <t>02-0G-01164</t>
  </si>
  <si>
    <t>02-0G-01165</t>
  </si>
  <si>
    <t>02-0G-01166</t>
  </si>
  <si>
    <t>02-0G-01167</t>
  </si>
  <si>
    <t>02-0G-01168</t>
  </si>
  <si>
    <t>02-0G-01169</t>
  </si>
  <si>
    <t>02-0G-01170</t>
  </si>
  <si>
    <t>02-0G-01171</t>
  </si>
  <si>
    <t>02-0G-01172</t>
  </si>
  <si>
    <t>02-0G-01173</t>
  </si>
  <si>
    <t>02-0G-01174</t>
  </si>
  <si>
    <t>02-0G-01175</t>
  </si>
  <si>
    <t>02-0G-01176</t>
  </si>
  <si>
    <t>02-0G-01177</t>
  </si>
  <si>
    <t>02-0G-01178</t>
  </si>
  <si>
    <t>02-0G-01179</t>
  </si>
  <si>
    <t>02-0G-01180</t>
  </si>
  <si>
    <t>02-0G-01181</t>
  </si>
  <si>
    <t>02-0G-01182</t>
  </si>
  <si>
    <t>02-0G-01183</t>
  </si>
  <si>
    <t>02-0G-01184</t>
  </si>
  <si>
    <t>02-0G-01185</t>
  </si>
  <si>
    <t>02-0G-01186</t>
  </si>
  <si>
    <t>02-0G-01187</t>
  </si>
  <si>
    <t>02-0G-01188</t>
  </si>
  <si>
    <t>02-0G-01189</t>
  </si>
  <si>
    <t>02-0G-01190</t>
  </si>
  <si>
    <t>02-0G-01191</t>
  </si>
  <si>
    <t>02-0G-01192</t>
  </si>
  <si>
    <t>02-0G-01193</t>
  </si>
  <si>
    <t>02-0G-01194</t>
  </si>
  <si>
    <t>02-0G-01195</t>
  </si>
  <si>
    <t>02-0G-01196</t>
  </si>
  <si>
    <t>02-0G-01197</t>
  </si>
  <si>
    <t>02-0G-01198</t>
  </si>
  <si>
    <t>02-0G-01199</t>
  </si>
  <si>
    <t>02-0G-01200</t>
  </si>
  <si>
    <t>02-0G-01201</t>
  </si>
  <si>
    <t>02-0G-01202</t>
  </si>
  <si>
    <t>02-0G-01203</t>
  </si>
  <si>
    <t>02-0G-01204</t>
  </si>
  <si>
    <t>02-0G-01205</t>
  </si>
  <si>
    <t>02-0G-01206</t>
  </si>
  <si>
    <t>02-0G-01207</t>
  </si>
  <si>
    <t>02-0G-01208</t>
  </si>
  <si>
    <t>02-0G-01209</t>
  </si>
  <si>
    <t>02-0G-01210</t>
  </si>
  <si>
    <t>02-0G-01211</t>
  </si>
  <si>
    <t>02-0G-01212</t>
  </si>
  <si>
    <t>02-0G-01213</t>
  </si>
  <si>
    <t>02-0G-01214</t>
  </si>
  <si>
    <t>02-0G-01215</t>
  </si>
  <si>
    <t>02-0G-01216</t>
  </si>
  <si>
    <t>02-0G-01217</t>
  </si>
  <si>
    <t>02-0G-01218</t>
  </si>
  <si>
    <t>02-0G-01219</t>
  </si>
  <si>
    <t>02-0G-01220</t>
  </si>
  <si>
    <t>02-0G-01221</t>
  </si>
  <si>
    <t>02-0G-01222</t>
  </si>
  <si>
    <t>02-0G-01223</t>
  </si>
  <si>
    <t>02-0G-01224</t>
  </si>
  <si>
    <t>02-0G-01225</t>
  </si>
  <si>
    <t>02-0G-01226</t>
  </si>
  <si>
    <t>02-0G-01227</t>
  </si>
  <si>
    <t>02-0G-01228</t>
  </si>
  <si>
    <t>02-0G-01229</t>
  </si>
  <si>
    <t>02-0G-01230</t>
  </si>
  <si>
    <t>02-0G-01231</t>
  </si>
  <si>
    <t>02-0G-01232</t>
  </si>
  <si>
    <t>02-0G-01233</t>
  </si>
  <si>
    <t>02-0G-01234</t>
  </si>
  <si>
    <t>02-0G-01235</t>
  </si>
  <si>
    <t>02-0G-01236</t>
  </si>
  <si>
    <t>02-0G-01237</t>
  </si>
  <si>
    <t>02-0G-01238</t>
  </si>
  <si>
    <t>02-0G-01239</t>
  </si>
  <si>
    <t>02-0G-01240</t>
  </si>
  <si>
    <t>02-0G-01241</t>
  </si>
  <si>
    <t>02-0G-01242</t>
  </si>
  <si>
    <t>02-0G-01243</t>
  </si>
  <si>
    <t>02-0G-01244</t>
  </si>
  <si>
    <t>02-0G-01245</t>
  </si>
  <si>
    <t>02-0G-01246</t>
  </si>
  <si>
    <t>02-0G-01247</t>
  </si>
  <si>
    <t>02-0G-01248</t>
  </si>
  <si>
    <t>02-0G-01249</t>
  </si>
  <si>
    <t>02-0G-01250</t>
  </si>
  <si>
    <t>02-0G-01251</t>
  </si>
  <si>
    <t>02-0G-01252</t>
  </si>
  <si>
    <t>02-0G-01253</t>
  </si>
  <si>
    <t>02-0G-01254</t>
  </si>
  <si>
    <t>02-0G-01255</t>
  </si>
  <si>
    <t>02-0G-01256</t>
  </si>
  <si>
    <t>02-0G-01257</t>
  </si>
  <si>
    <t>02-0G-01258</t>
  </si>
  <si>
    <t>02-0G-01259</t>
  </si>
  <si>
    <t>02-0G-01260</t>
  </si>
  <si>
    <t>02-0G-01261</t>
  </si>
  <si>
    <t>02-0G-01262</t>
  </si>
  <si>
    <t>02-0G-01263</t>
  </si>
  <si>
    <t>02-0G-01264</t>
  </si>
  <si>
    <t>02-0G-01265</t>
  </si>
  <si>
    <t>02-0G-01266</t>
  </si>
  <si>
    <t>02-0G-01267</t>
  </si>
  <si>
    <t>02-0G-01268</t>
  </si>
  <si>
    <t>02-0G-01269</t>
  </si>
  <si>
    <t>02-0G-01270</t>
  </si>
  <si>
    <t>02-0G-01271</t>
  </si>
  <si>
    <t>02-0G-01272</t>
  </si>
  <si>
    <t>02-0G-01273</t>
  </si>
  <si>
    <t>02-0G-01274</t>
  </si>
  <si>
    <t>02-0G-01275</t>
  </si>
  <si>
    <t>02-0G-01276</t>
  </si>
  <si>
    <t>02-0G-01277</t>
  </si>
  <si>
    <t>02-0G-01278</t>
  </si>
  <si>
    <t>02-0G-01279</t>
  </si>
  <si>
    <t>02-0G-01280</t>
  </si>
  <si>
    <t>02-0G-01281</t>
  </si>
  <si>
    <t>02-0G-01282</t>
  </si>
  <si>
    <t>02-0G-01283</t>
  </si>
  <si>
    <t>02-0G-01284</t>
  </si>
  <si>
    <t>02-0G-01285</t>
  </si>
  <si>
    <t>02-0G-01286</t>
  </si>
  <si>
    <t>02-0G-01287</t>
  </si>
  <si>
    <t>02-0G-01288</t>
  </si>
  <si>
    <t>02-0G-01289</t>
  </si>
  <si>
    <t>02-0G-01290</t>
  </si>
  <si>
    <t>02-0G-01291</t>
  </si>
  <si>
    <t>02-0G-01292</t>
  </si>
  <si>
    <t>02-0G-01293</t>
  </si>
  <si>
    <t>02-0G-01294</t>
  </si>
  <si>
    <t>02-0G-01295</t>
  </si>
  <si>
    <t>02-0G-01296</t>
  </si>
  <si>
    <t>02-0G-01297</t>
  </si>
  <si>
    <t>02-0G-01298</t>
  </si>
  <si>
    <t>02-0G-01299</t>
  </si>
  <si>
    <t>02-0G-01300</t>
  </si>
  <si>
    <t>02-0G-01301</t>
  </si>
  <si>
    <t>02-0G-01302</t>
  </si>
  <si>
    <t>02-0G-01303</t>
  </si>
  <si>
    <t>02-0G-01304</t>
  </si>
  <si>
    <t>02-0G-01305</t>
  </si>
  <si>
    <t>02-0G-01306</t>
  </si>
  <si>
    <t>02-0G-01307</t>
  </si>
  <si>
    <t>02-0G-01308</t>
  </si>
  <si>
    <t>02-0G-01309</t>
  </si>
  <si>
    <t>02-0G-01310</t>
  </si>
  <si>
    <t>02-0G-01311</t>
  </si>
  <si>
    <t>02-0G-01312</t>
  </si>
  <si>
    <t>02-0G-01313</t>
  </si>
  <si>
    <t>02-0G-01314</t>
  </si>
  <si>
    <t>02-0G-01315</t>
  </si>
  <si>
    <t>02-0G-01316</t>
  </si>
  <si>
    <t>02-0G-01317</t>
  </si>
  <si>
    <t>02-0G-01318</t>
  </si>
  <si>
    <t>02-0G-01319</t>
  </si>
  <si>
    <t>02-0G-01320</t>
  </si>
  <si>
    <t>02-0G-01321</t>
  </si>
  <si>
    <t>02-0G-01322</t>
  </si>
  <si>
    <t>02-0G-01323</t>
  </si>
  <si>
    <t>02-0G-01324</t>
  </si>
  <si>
    <t>02-0G-01325</t>
  </si>
  <si>
    <t>02-0G-01326</t>
  </si>
  <si>
    <t>02-0G-01327</t>
  </si>
  <si>
    <t>02-0G-01328</t>
  </si>
  <si>
    <t>02-0G-01329</t>
  </si>
  <si>
    <t>02-0G-01330</t>
  </si>
  <si>
    <t>02-0G-01331</t>
  </si>
  <si>
    <t>02-0G-01332</t>
  </si>
  <si>
    <t>02-0G-01333</t>
  </si>
  <si>
    <t>02-0G-01334</t>
  </si>
  <si>
    <t>02-0G-01335</t>
  </si>
  <si>
    <t>02-0G-01336</t>
  </si>
  <si>
    <t>02-0G-01337</t>
  </si>
  <si>
    <t>02-0G-01338</t>
  </si>
  <si>
    <t>02-0G-01339</t>
  </si>
  <si>
    <t>02-0G-01340</t>
  </si>
  <si>
    <t>02-0G-01341</t>
  </si>
  <si>
    <t>02-0G-01342</t>
  </si>
  <si>
    <t>02-0G-01343</t>
  </si>
  <si>
    <t>02-0G-01344</t>
  </si>
  <si>
    <t>02-0G-01345</t>
  </si>
  <si>
    <t>02-0G-01346</t>
  </si>
  <si>
    <t>02-0G-01347</t>
  </si>
  <si>
    <t>02-0G-01348</t>
  </si>
  <si>
    <t>02-0G-01349</t>
  </si>
  <si>
    <t>02-0G-01350</t>
  </si>
  <si>
    <t>02-0G-01351</t>
  </si>
  <si>
    <t>02-0G-01352</t>
  </si>
  <si>
    <t>02-0G-01353</t>
  </si>
  <si>
    <t>02-0G-01354</t>
  </si>
  <si>
    <t>02-0G-01355</t>
  </si>
  <si>
    <t>02-0G-01356</t>
  </si>
  <si>
    <t>02-0G-01357</t>
  </si>
  <si>
    <t>02-0G-01358</t>
  </si>
  <si>
    <t>02-0G-01359</t>
  </si>
  <si>
    <t>02-0G-01360</t>
  </si>
  <si>
    <t>02-0G-01361</t>
  </si>
  <si>
    <t>02-0G-01362</t>
  </si>
  <si>
    <t>02-0G-01363</t>
  </si>
  <si>
    <t>02-0G-01364</t>
  </si>
  <si>
    <t>02-0G-01365</t>
  </si>
  <si>
    <t>02-0G-01366</t>
  </si>
  <si>
    <t>02-0G-01367</t>
  </si>
  <si>
    <t>02-0G-01368</t>
  </si>
  <si>
    <t>02-0G-01369</t>
  </si>
  <si>
    <t>02-0G-01370</t>
  </si>
  <si>
    <t>02-0G-01371</t>
  </si>
  <si>
    <t>02-0G-01372</t>
  </si>
  <si>
    <t>02-0G-01373</t>
  </si>
  <si>
    <t>02-0G-01374</t>
  </si>
  <si>
    <t>Sensor de presión</t>
  </si>
  <si>
    <t>Valvula de seguridad</t>
  </si>
  <si>
    <t>Analizador carbono orgánico total</t>
  </si>
  <si>
    <t>Termometro digital</t>
  </si>
  <si>
    <t>Graficador temperatura</t>
  </si>
  <si>
    <t>Verificadora de peso</t>
  </si>
  <si>
    <t xml:space="preserve">Termohigrómetro </t>
  </si>
  <si>
    <t>Sensor temperatura</t>
  </si>
  <si>
    <t>Marco de pesas</t>
  </si>
  <si>
    <t>Vernier</t>
  </si>
  <si>
    <t>Micrometro</t>
  </si>
  <si>
    <t xml:space="preserve">Sensor de temperatura </t>
  </si>
  <si>
    <t>Baño temperatura pozo seco</t>
  </si>
  <si>
    <t xml:space="preserve">Muestreador de aire </t>
  </si>
  <si>
    <t>Colorímetro</t>
  </si>
  <si>
    <t xml:space="preserve">Pesa de referencia </t>
  </si>
  <si>
    <t>Multimetro digital</t>
  </si>
  <si>
    <t>Luxómetro</t>
  </si>
  <si>
    <t xml:space="preserve">Controlador de temperatura y humedad </t>
  </si>
  <si>
    <t>Pesa de referencia</t>
  </si>
  <si>
    <t>Micromanómetro</t>
  </si>
  <si>
    <t xml:space="preserve">Registrador de temperatura </t>
  </si>
  <si>
    <t>Microcalibrador</t>
  </si>
  <si>
    <t xml:space="preserve">Verificador de hermeticidad </t>
  </si>
  <si>
    <t xml:space="preserve">Citometro de flujo </t>
  </si>
  <si>
    <t xml:space="preserve">Termómetro infrarrojo </t>
  </si>
  <si>
    <t xml:space="preserve">Micromanómetro </t>
  </si>
  <si>
    <t>Controlador temperatura</t>
  </si>
  <si>
    <t>Termometro</t>
  </si>
  <si>
    <t xml:space="preserve">Cronometro </t>
  </si>
  <si>
    <t>Controlador de tempeartura</t>
  </si>
  <si>
    <t>Cronometro</t>
  </si>
  <si>
    <t xml:space="preserve">Termohigrometro </t>
  </si>
  <si>
    <t>Termometro infrarrojo</t>
  </si>
  <si>
    <t>Agitador</t>
  </si>
  <si>
    <t>Modulo de presion</t>
  </si>
  <si>
    <t xml:space="preserve">Termometro infrarojo </t>
  </si>
  <si>
    <t>Manometro diferencial</t>
  </si>
  <si>
    <t>Microbaño</t>
  </si>
  <si>
    <t xml:space="preserve">Termometro bimetalico </t>
  </si>
  <si>
    <t xml:space="preserve">Manometro diferencial </t>
  </si>
  <si>
    <t>Tacometro</t>
  </si>
  <si>
    <t>Crítico</t>
  </si>
  <si>
    <t>Critico</t>
  </si>
  <si>
    <t xml:space="preserve">No critico </t>
  </si>
  <si>
    <t>No critico</t>
  </si>
  <si>
    <t>No Critico</t>
  </si>
  <si>
    <t>Área técnica</t>
  </si>
  <si>
    <t>Área técnica del liofilizador</t>
  </si>
  <si>
    <t>Área técnica de ductos de sistemas críticos</t>
  </si>
  <si>
    <t>Azotea general 1</t>
  </si>
  <si>
    <t>Cuarto del sistema de acondicionamiento de agua</t>
  </si>
  <si>
    <t>Cuarto para muestras de retención 2</t>
  </si>
  <si>
    <t>Muestras de retención (cámara de refrigeración)</t>
  </si>
  <si>
    <t>Análisis generales</t>
  </si>
  <si>
    <t>Laboratorio de desarrollo farmacéutico</t>
  </si>
  <si>
    <t>Laboratorio de microbiología</t>
  </si>
  <si>
    <t>Vestíbulo biológicos</t>
  </si>
  <si>
    <t>Alojamiento 3</t>
  </si>
  <si>
    <t>Área de pesado</t>
  </si>
  <si>
    <t>Bioterio</t>
  </si>
  <si>
    <t>Área de masas</t>
  </si>
  <si>
    <t>Lavado</t>
  </si>
  <si>
    <t>Recepción y acondicionamiento</t>
  </si>
  <si>
    <t>Físico-químicos 2</t>
  </si>
  <si>
    <t>Laboratorio biológicos</t>
  </si>
  <si>
    <t>Esclusa de acceso a Bioterio</t>
  </si>
  <si>
    <t>Biológico virus 1</t>
  </si>
  <si>
    <t>Ensayos biológicos 1</t>
  </si>
  <si>
    <t>Físico-químicos 3</t>
  </si>
  <si>
    <t>Lavado y preparación</t>
  </si>
  <si>
    <t>Físico-químicos 1</t>
  </si>
  <si>
    <t>Vestidor 1</t>
  </si>
  <si>
    <t>Pruebas microbiológicas</t>
  </si>
  <si>
    <t>Esclusa</t>
  </si>
  <si>
    <t>Pruebas de esterilidad</t>
  </si>
  <si>
    <t>Pasillo limpio</t>
  </si>
  <si>
    <t>Ensayos biológicos 2</t>
  </si>
  <si>
    <t>Biológico virus 2</t>
  </si>
  <si>
    <t>Incubadoras</t>
  </si>
  <si>
    <t>Laboratorio de presión</t>
  </si>
  <si>
    <t>Alojamiento 1</t>
  </si>
  <si>
    <t>Biológico cultivo celular</t>
  </si>
  <si>
    <t>CeDis</t>
  </si>
  <si>
    <t>Alojamiento 2</t>
  </si>
  <si>
    <t>Administración biológicos</t>
  </si>
  <si>
    <t>Mezclado de soluciones y suspensiones 1</t>
  </si>
  <si>
    <t>Mezclado de liofilizados y jeringas 1</t>
  </si>
  <si>
    <t>Acondicionado 1</t>
  </si>
  <si>
    <t>Acondicionado 2</t>
  </si>
  <si>
    <t>Salida de producto (liofilizados)</t>
  </si>
  <si>
    <t>Salida de producto (soluciones y suspensiones)</t>
  </si>
  <si>
    <t>Etiquetado</t>
  </si>
  <si>
    <t>Materiales en tránsito 2 y producto terminado</t>
  </si>
  <si>
    <t>Llenado de liofilizados y jeringas 1</t>
  </si>
  <si>
    <t>Pasillo 3</t>
  </si>
  <si>
    <t>Área común de oficinas</t>
  </si>
  <si>
    <t>Lavado y esterilizado 1</t>
  </si>
  <si>
    <t>Pasillo C</t>
  </si>
  <si>
    <t>Pasillo 2</t>
  </si>
  <si>
    <t>Revisado 1</t>
  </si>
  <si>
    <t>Lavandería de uniforme aséptico</t>
  </si>
  <si>
    <t>Lavandería de uniforme periférico</t>
  </si>
  <si>
    <t>Llenado de soluciones y suspensiones 1</t>
  </si>
  <si>
    <t>Pasillo B</t>
  </si>
  <si>
    <t>Pasillo 4</t>
  </si>
  <si>
    <t>Almacén de producto 1</t>
  </si>
  <si>
    <t>Cuarto para CIP</t>
  </si>
  <si>
    <t>Surtido y muestreo 1</t>
  </si>
  <si>
    <t>Almacén de materia prima 1</t>
  </si>
  <si>
    <t>Descongelación de IFA</t>
  </si>
  <si>
    <t>Surtido y muestreo</t>
  </si>
  <si>
    <t>Vestidor</t>
  </si>
  <si>
    <t>Área de temperatura</t>
  </si>
  <si>
    <t>Área común de oficinas mezzanine 2</t>
  </si>
  <si>
    <t>Pasillo 1</t>
  </si>
  <si>
    <t>Cuarto de compresores</t>
  </si>
  <si>
    <t>Almacén de material</t>
  </si>
  <si>
    <t>Administración de control de calidad</t>
  </si>
  <si>
    <t>Área común de oficinas mezzanine 1</t>
  </si>
  <si>
    <t>Almacén de bancos celulares</t>
  </si>
  <si>
    <t>Almacén de materia prima 2</t>
  </si>
  <si>
    <t>Laboratorio de análisis in vivo</t>
  </si>
  <si>
    <t>Cuarto de incubación</t>
  </si>
  <si>
    <t>Azotea general 3</t>
  </si>
  <si>
    <t>Planta nueva</t>
  </si>
  <si>
    <t>Acondicionado 3</t>
  </si>
  <si>
    <t>Llenado de soluciones y suspensiones 2</t>
  </si>
  <si>
    <t>Lavado y esterilizado 2</t>
  </si>
  <si>
    <t>Esclusa de personal lavado y esterilizado 2</t>
  </si>
  <si>
    <t xml:space="preserve">Desempacado 2 </t>
  </si>
  <si>
    <t xml:space="preserve">Lavado de utencilios </t>
  </si>
  <si>
    <t>Formatos</t>
  </si>
  <si>
    <t>Esclusa de personal mezclado de soluciones y suspensiones 2</t>
  </si>
  <si>
    <t>Cuarto para CIP 2</t>
  </si>
  <si>
    <t>Mezclado de soluciones y suspensiones 2</t>
  </si>
  <si>
    <t xml:space="preserve">Esclusa de materiales mezclado de soluciones y suspensiones 2 </t>
  </si>
  <si>
    <t>Desvestidor 12 salida</t>
  </si>
  <si>
    <t>Vestidor 9 entrada</t>
  </si>
  <si>
    <t>Cuarto de limpieza</t>
  </si>
  <si>
    <t>Vestidor 10 salida</t>
  </si>
  <si>
    <t>Desvestidor 11 entrada</t>
  </si>
  <si>
    <t>Salida de producto 2</t>
  </si>
  <si>
    <t>Materiales en tránsito 1</t>
  </si>
  <si>
    <t>Esclusa de materiales en tránsito</t>
  </si>
  <si>
    <t>Pasillo D</t>
  </si>
  <si>
    <t>Cuarto para muestras de retención</t>
  </si>
  <si>
    <t>Mantenimiento e Ingeniería</t>
  </si>
  <si>
    <t>Desarrollo farmacéutico</t>
  </si>
  <si>
    <t>Calibracion</t>
  </si>
  <si>
    <t>Manufactura</t>
  </si>
  <si>
    <t xml:space="preserve">Cadena de suministro </t>
  </si>
  <si>
    <t>Calificacion</t>
  </si>
  <si>
    <t xml:space="preserve">Ingenieria de empaque </t>
  </si>
  <si>
    <t xml:space="preserve">Calificacion </t>
  </si>
  <si>
    <t>Validación</t>
  </si>
  <si>
    <t>7.    02-0G-00626 Ref 2</t>
  </si>
  <si>
    <t>9.    02-0G-00626 (4)</t>
  </si>
  <si>
    <t>02-0G-00626 REF 1</t>
  </si>
  <si>
    <t>02-0G-00626 REF 2</t>
  </si>
  <si>
    <t>02-0G-00626 (4)</t>
  </si>
  <si>
    <t>Ref. 1</t>
  </si>
  <si>
    <t>REF 2</t>
  </si>
  <si>
    <t>pozo 4</t>
  </si>
  <si>
    <t>Supervisor de Calibración</t>
  </si>
  <si>
    <t>02-0G-01389</t>
  </si>
  <si>
    <t>OD-1224-0873</t>
  </si>
  <si>
    <t>3.    02-0G-01389</t>
  </si>
  <si>
    <t>02-02-03967</t>
  </si>
  <si>
    <t>02-0G-01375</t>
  </si>
  <si>
    <t>02-0G-01376</t>
  </si>
  <si>
    <t>02-0G-01377</t>
  </si>
  <si>
    <t>02-0G-01378</t>
  </si>
  <si>
    <t>02-0G-01379</t>
  </si>
  <si>
    <t>02-0G-01380</t>
  </si>
  <si>
    <t>02-0G-01381</t>
  </si>
  <si>
    <t>02-0G-01382</t>
  </si>
  <si>
    <t>02-0G-01383</t>
  </si>
  <si>
    <t>02-0G-01384</t>
  </si>
  <si>
    <t>02-0G-01385</t>
  </si>
  <si>
    <t>02-0G-01386</t>
  </si>
  <si>
    <t>02-0G-01387</t>
  </si>
  <si>
    <t>02-0G-01388</t>
  </si>
  <si>
    <t>02-0G-01390</t>
  </si>
  <si>
    <t>02-0G-01391</t>
  </si>
  <si>
    <t>02-0G-01392</t>
  </si>
  <si>
    <t>02-0G-01393</t>
  </si>
  <si>
    <t>02-0G-01394</t>
  </si>
  <si>
    <t>02-0G-01395</t>
  </si>
  <si>
    <t>02-0G-01396</t>
  </si>
  <si>
    <t>02-0G-01397</t>
  </si>
  <si>
    <t>02-0G-01398</t>
  </si>
  <si>
    <t>02-0G-01399</t>
  </si>
  <si>
    <t>02-0G-01400</t>
  </si>
  <si>
    <t>02-0G-01401</t>
  </si>
  <si>
    <t>02-0G-01402</t>
  </si>
  <si>
    <t>02-0G-01403</t>
  </si>
  <si>
    <t>02-0G-01404</t>
  </si>
  <si>
    <t>02-0G-01405</t>
  </si>
  <si>
    <t>02-0G-01406</t>
  </si>
  <si>
    <t>02-0G-01407</t>
  </si>
  <si>
    <t>02-0G-01408</t>
  </si>
  <si>
    <t>02-0G-01409</t>
  </si>
  <si>
    <t>02-0G-01410</t>
  </si>
  <si>
    <t>02-0G-01411</t>
  </si>
  <si>
    <t>02-0G-01413</t>
  </si>
  <si>
    <t>02-0G-01414</t>
  </si>
  <si>
    <t>02-0G-01415</t>
  </si>
  <si>
    <t>02-0G-01416</t>
  </si>
  <si>
    <t>02-0G-01417</t>
  </si>
  <si>
    <t>02-0G-01418</t>
  </si>
  <si>
    <t>02-0G-01419</t>
  </si>
  <si>
    <t>02-0G-01420</t>
  </si>
  <si>
    <t>02-0G-01421</t>
  </si>
  <si>
    <t>02-0G-01422</t>
  </si>
  <si>
    <t>02-0G-01423</t>
  </si>
  <si>
    <t>02-0G-01424</t>
  </si>
  <si>
    <t>02-0G-01425</t>
  </si>
  <si>
    <t>02-0G-01426</t>
  </si>
  <si>
    <t>02-0G-01427</t>
  </si>
  <si>
    <t>02-0G-01428</t>
  </si>
  <si>
    <t>02-0G-01429</t>
  </si>
  <si>
    <t>02-0G-01430</t>
  </si>
  <si>
    <t>02-0G-01431</t>
  </si>
  <si>
    <t>02-0G-01432</t>
  </si>
  <si>
    <t>02-0G-01433</t>
  </si>
  <si>
    <t>02-0G-01434</t>
  </si>
  <si>
    <t>02-0G-01435</t>
  </si>
  <si>
    <t>02-0G-01436</t>
  </si>
  <si>
    <t>02-0G-01437</t>
  </si>
  <si>
    <t>02-0G-01438</t>
  </si>
  <si>
    <t>02-0G-01439</t>
  </si>
  <si>
    <t>02-0G-01440</t>
  </si>
  <si>
    <t>02-0G-01441</t>
  </si>
  <si>
    <t>02-0G-01442</t>
  </si>
  <si>
    <t>02-0G-01443</t>
  </si>
  <si>
    <t>02-0G-01444</t>
  </si>
  <si>
    <t>02-0G-01445</t>
  </si>
  <si>
    <t>02-0G-01446</t>
  </si>
  <si>
    <t>02-0G-01447</t>
  </si>
  <si>
    <t>02-0G-01448</t>
  </si>
  <si>
    <t>02-0G-01449</t>
  </si>
  <si>
    <t>02-0G-01450</t>
  </si>
  <si>
    <t>02-0G-01451</t>
  </si>
  <si>
    <t>02-0G-01452</t>
  </si>
  <si>
    <t>02-0G-01453</t>
  </si>
  <si>
    <t>02-0G-01454</t>
  </si>
  <si>
    <t>02-0G-01455</t>
  </si>
  <si>
    <t>02-0G-01456</t>
  </si>
  <si>
    <t>02-0G-01457</t>
  </si>
  <si>
    <t>02-0G-01458</t>
  </si>
  <si>
    <t>02-0G-01459</t>
  </si>
  <si>
    <t>02-0G-01460</t>
  </si>
  <si>
    <t>02-0G-01461</t>
  </si>
  <si>
    <t>02-0G-01462</t>
  </si>
  <si>
    <t>02-0G-01463</t>
  </si>
  <si>
    <t>02-0G-01464</t>
  </si>
  <si>
    <t>02-0G-01465</t>
  </si>
  <si>
    <t>02-0G-01466</t>
  </si>
  <si>
    <t>02-0G-01467</t>
  </si>
  <si>
    <t>02-0G-01468</t>
  </si>
  <si>
    <t>02-0G-01469</t>
  </si>
  <si>
    <t>02-0G-01470</t>
  </si>
  <si>
    <t>02-0G-01471</t>
  </si>
  <si>
    <t>02-0G-01472</t>
  </si>
  <si>
    <t>02-0G-01473</t>
  </si>
  <si>
    <t>02-0G-01474</t>
  </si>
  <si>
    <t>02-0G-01475</t>
  </si>
  <si>
    <t>02-0G-01476</t>
  </si>
  <si>
    <t>02-0G-01477</t>
  </si>
  <si>
    <t>02-0G-01478</t>
  </si>
  <si>
    <t>02-0G-01479</t>
  </si>
  <si>
    <t>02-0G-01480</t>
  </si>
  <si>
    <t xml:space="preserve">Sensor de temperatura y humedad </t>
  </si>
  <si>
    <t>Humidistato digital</t>
  </si>
  <si>
    <t xml:space="preserve">Densimetro </t>
  </si>
  <si>
    <t xml:space="preserve">Sensor de nivel </t>
  </si>
  <si>
    <t xml:space="preserve">Sensor de presion </t>
  </si>
  <si>
    <t>Sensor de conductividad</t>
  </si>
  <si>
    <t>Medidor de flujo</t>
  </si>
  <si>
    <t>Sensor de PH</t>
  </si>
  <si>
    <t>Sensor conductividad</t>
  </si>
  <si>
    <t>Bascula</t>
  </si>
  <si>
    <t>Sensor PH</t>
  </si>
  <si>
    <t>Termometro infrarojo</t>
  </si>
  <si>
    <t>Sensor de  temperatura</t>
  </si>
  <si>
    <t>Area tecnica autoclave</t>
  </si>
  <si>
    <t xml:space="preserve">Lavado y esterilizado 2 </t>
  </si>
  <si>
    <t>Pasillos cisternas</t>
  </si>
  <si>
    <t>Almacén temporal de residuos peligrosos</t>
  </si>
  <si>
    <t>Seguridad Industrial</t>
  </si>
  <si>
    <t>02-02-003967</t>
  </si>
  <si>
    <t>02-0G-00036</t>
  </si>
  <si>
    <t>02-0G-00037</t>
  </si>
  <si>
    <t>02-0G-00250</t>
  </si>
  <si>
    <t>02-0G-00565</t>
  </si>
  <si>
    <t>02-0G-01481</t>
  </si>
  <si>
    <t>02-0G-01482</t>
  </si>
  <si>
    <t>02-0G-01483</t>
  </si>
  <si>
    <t>02-0G-01484</t>
  </si>
  <si>
    <t>02-0G-01485</t>
  </si>
  <si>
    <t>02-0G-01486</t>
  </si>
  <si>
    <t>02-0G-01487</t>
  </si>
  <si>
    <t>02-0G-01488</t>
  </si>
  <si>
    <t>02-0G-01489</t>
  </si>
  <si>
    <t>02-0G-01490</t>
  </si>
  <si>
    <t>02-0G-01491</t>
  </si>
  <si>
    <t>02-0G-01492</t>
  </si>
  <si>
    <t>02-0G-01493</t>
  </si>
  <si>
    <t>02-0G-01494</t>
  </si>
  <si>
    <t>02-0G-01495</t>
  </si>
  <si>
    <t>02-0G-01496</t>
  </si>
  <si>
    <t>02-0G-01497</t>
  </si>
  <si>
    <t>02-0G-01498</t>
  </si>
  <si>
    <t>02-0G-01499</t>
  </si>
  <si>
    <t>02-0G-01500</t>
  </si>
  <si>
    <t>02-0G-01501</t>
  </si>
  <si>
    <t>02-0G-01502</t>
  </si>
  <si>
    <t>02-0G-01503</t>
  </si>
  <si>
    <t>02-0G-01504</t>
  </si>
  <si>
    <t>02-0G-01505</t>
  </si>
  <si>
    <t>02-0G-01506</t>
  </si>
  <si>
    <t>02-0G-01507</t>
  </si>
  <si>
    <t>02-0G-01508</t>
  </si>
  <si>
    <t>02-0G-01509</t>
  </si>
  <si>
    <t>02-0G-01510</t>
  </si>
  <si>
    <t>02-0G-01511</t>
  </si>
  <si>
    <t>02-0G-01512</t>
  </si>
  <si>
    <t>02-0G-01513</t>
  </si>
  <si>
    <t>02-0G-01514</t>
  </si>
  <si>
    <t>02-0G-01515</t>
  </si>
  <si>
    <t>02-0G-01516</t>
  </si>
  <si>
    <t>02-0G-01517</t>
  </si>
  <si>
    <t>02-0G-01518</t>
  </si>
  <si>
    <t>02-0G-01519</t>
  </si>
  <si>
    <t>02-0G-01520</t>
  </si>
  <si>
    <t>02-0G-01521</t>
  </si>
  <si>
    <t>02-0G-01522</t>
  </si>
  <si>
    <t>02-0G-01523</t>
  </si>
  <si>
    <t>02-0G-01524</t>
  </si>
  <si>
    <t>02-0G-01525</t>
  </si>
  <si>
    <t>02-0G-01526</t>
  </si>
  <si>
    <t>Analoizador de carbono total</t>
  </si>
  <si>
    <t>Flujometro</t>
  </si>
  <si>
    <t>Sensor pH</t>
  </si>
  <si>
    <t xml:space="preserve">Laboratorio Desarrollo Farmaceutico </t>
  </si>
  <si>
    <t xml:space="preserve">llenado  de soluciones y suspenciones 2 </t>
  </si>
  <si>
    <t>Bancos celulares y virales</t>
  </si>
  <si>
    <t>Llenado de soluciones y suspencisones 2</t>
  </si>
  <si>
    <t>02-0G-01528</t>
  </si>
  <si>
    <t>02-0G-01529</t>
  </si>
  <si>
    <t>02-0G-01530</t>
  </si>
  <si>
    <t>02-0G-01531</t>
  </si>
  <si>
    <t>02-0G-01532</t>
  </si>
  <si>
    <t>02-0G-01533</t>
  </si>
  <si>
    <t>02-0G-01534</t>
  </si>
  <si>
    <t>02-0G-01535</t>
  </si>
  <si>
    <t>02-0G-01536</t>
  </si>
  <si>
    <t>02-0G-01537</t>
  </si>
  <si>
    <t>02-0G-01538</t>
  </si>
  <si>
    <t>02-0G-01539</t>
  </si>
  <si>
    <t>02-0G-01540</t>
  </si>
  <si>
    <t>02-0G-01541</t>
  </si>
  <si>
    <t>02-0G-01542</t>
  </si>
  <si>
    <t>02-0G-01543</t>
  </si>
  <si>
    <t>02-0G-01544</t>
  </si>
  <si>
    <t>02-0G-01545</t>
  </si>
  <si>
    <t>02-0G-01546</t>
  </si>
  <si>
    <t>02-0G-01547</t>
  </si>
  <si>
    <t>02-0G-01548</t>
  </si>
  <si>
    <t>02-0G-01549</t>
  </si>
  <si>
    <t>02-0G-01550</t>
  </si>
  <si>
    <t>02-0G-01551</t>
  </si>
  <si>
    <t>02-0G-01552</t>
  </si>
  <si>
    <t>02-0G-01553</t>
  </si>
  <si>
    <t>02-0G-01554</t>
  </si>
  <si>
    <t>02-0G-01555</t>
  </si>
  <si>
    <t>02-0G-01556</t>
  </si>
  <si>
    <t>02-0G-01557</t>
  </si>
  <si>
    <t>02-0G-01558</t>
  </si>
  <si>
    <t>02-0G-01559</t>
  </si>
  <si>
    <t>02-0G-01560</t>
  </si>
  <si>
    <t>02-0G-01561</t>
  </si>
  <si>
    <t>02-0G-01562</t>
  </si>
  <si>
    <t>02-0G-01563</t>
  </si>
  <si>
    <t>02-0G-01564</t>
  </si>
  <si>
    <t>02-0G-01565</t>
  </si>
  <si>
    <t>02-0G-01566</t>
  </si>
  <si>
    <t>02-0G-01567</t>
  </si>
  <si>
    <t>02-0G-01568</t>
  </si>
  <si>
    <t>02-0G-01569</t>
  </si>
  <si>
    <t>02-0G-01570</t>
  </si>
  <si>
    <t>02-0G-01571</t>
  </si>
  <si>
    <t>02-0G-01572</t>
  </si>
  <si>
    <t>02-0G-01573</t>
  </si>
  <si>
    <t>02-0G-01574</t>
  </si>
  <si>
    <t>02-0G-01575</t>
  </si>
  <si>
    <t>02-0G-01576</t>
  </si>
  <si>
    <t>02-0G-01577</t>
  </si>
  <si>
    <t>02-0G-01578</t>
  </si>
  <si>
    <t>02-0G-01579</t>
  </si>
  <si>
    <t>02-0G-01580</t>
  </si>
  <si>
    <t>02-0G-01581</t>
  </si>
  <si>
    <t>02-0G-01582</t>
  </si>
  <si>
    <t>02-0G-01583</t>
  </si>
  <si>
    <t>02-0G-01584</t>
  </si>
  <si>
    <t xml:space="preserve">Balanza </t>
  </si>
  <si>
    <t>Espectrofotometro</t>
  </si>
  <si>
    <t>Celda de carga</t>
  </si>
  <si>
    <t>Area tecnica manejadoras</t>
  </si>
  <si>
    <t>Vestíbulo</t>
  </si>
  <si>
    <t>02-0G-01585</t>
  </si>
  <si>
    <t>02-0G-01586</t>
  </si>
  <si>
    <t>02-0G-01587</t>
  </si>
  <si>
    <t>02-0G-01588</t>
  </si>
  <si>
    <t>02-0G-01589</t>
  </si>
  <si>
    <t>02-0G-01590</t>
  </si>
  <si>
    <t>02-0G-01591</t>
  </si>
  <si>
    <t>02-0G-01592</t>
  </si>
  <si>
    <t>02-0G-01593</t>
  </si>
  <si>
    <t>02-0G-01594</t>
  </si>
  <si>
    <t>02-0G-01595</t>
  </si>
  <si>
    <t>02-0G-01596</t>
  </si>
  <si>
    <t>02-0G-01597</t>
  </si>
  <si>
    <t>02-0G-01598</t>
  </si>
  <si>
    <t>02-0G-01599</t>
  </si>
  <si>
    <t>02-0G-01600</t>
  </si>
  <si>
    <t>02-0G-01601</t>
  </si>
  <si>
    <t>02-0G-01602</t>
  </si>
  <si>
    <t>02-0G-01603</t>
  </si>
  <si>
    <t>02-0G-01604</t>
  </si>
  <si>
    <t>02-0G-01605</t>
  </si>
  <si>
    <t>02-0G-01606</t>
  </si>
  <si>
    <t>02-0G-01607</t>
  </si>
  <si>
    <t>02-0G-01608</t>
  </si>
  <si>
    <t>02-0G-01609</t>
  </si>
  <si>
    <t>02-0G-01610</t>
  </si>
  <si>
    <t>02-0G-01611</t>
  </si>
  <si>
    <t>02-0G-01612</t>
  </si>
  <si>
    <t>02-0G-01613</t>
  </si>
  <si>
    <t>02-0G-01614</t>
  </si>
  <si>
    <t>02-0G-01615</t>
  </si>
  <si>
    <t>0D-0024-1913</t>
  </si>
  <si>
    <t>12.  02-02-05858</t>
  </si>
  <si>
    <t>02-0G-01616</t>
  </si>
  <si>
    <t>02-0G-01617</t>
  </si>
  <si>
    <t>02-0G-01618</t>
  </si>
  <si>
    <t>02-0G-01619</t>
  </si>
  <si>
    <t>02-0G-01620</t>
  </si>
  <si>
    <t>02-0G-01621</t>
  </si>
  <si>
    <t>02-0G-01622</t>
  </si>
  <si>
    <t>02-0G-01623</t>
  </si>
  <si>
    <t>02-0G-01624</t>
  </si>
  <si>
    <t>02-0G-01625</t>
  </si>
  <si>
    <t>02-0G-01626</t>
  </si>
  <si>
    <t>02-0G-01627</t>
  </si>
  <si>
    <t>02-0G-01628</t>
  </si>
  <si>
    <t>02-0G-01629</t>
  </si>
  <si>
    <t>02-0G-01630</t>
  </si>
  <si>
    <t>02-0G-01631</t>
  </si>
  <si>
    <t>02-0G-01632</t>
  </si>
  <si>
    <t>02-0G-01633</t>
  </si>
  <si>
    <t>02-0G-01634</t>
  </si>
  <si>
    <t>02-0G-01635</t>
  </si>
  <si>
    <t>02-0G-01636</t>
  </si>
  <si>
    <t>02-0G-01637</t>
  </si>
  <si>
    <t>02-0G-01638</t>
  </si>
  <si>
    <t>02-0G-01639</t>
  </si>
  <si>
    <t>02-0G-01640</t>
  </si>
  <si>
    <t>02-0G-01641</t>
  </si>
  <si>
    <t>02-0G-01642</t>
  </si>
  <si>
    <t>02-0G-01643</t>
  </si>
  <si>
    <t>02-0G-01644</t>
  </si>
  <si>
    <t>02-0G-01645</t>
  </si>
  <si>
    <t>02-0G-01646</t>
  </si>
  <si>
    <t>02-0G-01647</t>
  </si>
  <si>
    <t>02-0G-01648</t>
  </si>
  <si>
    <t>02-0G-01649</t>
  </si>
  <si>
    <t>02-0G-01650</t>
  </si>
  <si>
    <t>02-0G-01651</t>
  </si>
  <si>
    <t>02-0G-01652</t>
  </si>
  <si>
    <t>02-0G-01653</t>
  </si>
  <si>
    <t>02-0G-01654</t>
  </si>
  <si>
    <t>02-0G-01655</t>
  </si>
  <si>
    <t>02-0G-01656</t>
  </si>
  <si>
    <t>02-0G-01657</t>
  </si>
  <si>
    <t>02-0G-01658</t>
  </si>
  <si>
    <t>02-0G-01659</t>
  </si>
  <si>
    <t>02-0G-01660</t>
  </si>
  <si>
    <t>02-0G-01661</t>
  </si>
  <si>
    <t>02-0G-01662</t>
  </si>
  <si>
    <t>02-0G-01663</t>
  </si>
  <si>
    <t>02-0G-01664</t>
  </si>
  <si>
    <t>02-0G-01665</t>
  </si>
  <si>
    <t>02-0G-01666</t>
  </si>
  <si>
    <t>02-0G-01667</t>
  </si>
  <si>
    <t>02-0G-01668</t>
  </si>
  <si>
    <t>02-0G-01669</t>
  </si>
  <si>
    <t>02-0G-01670</t>
  </si>
  <si>
    <t>02-0G-01671</t>
  </si>
  <si>
    <t>02-0G-01672</t>
  </si>
  <si>
    <t>02-0G-01673</t>
  </si>
  <si>
    <t>02-0G-01674</t>
  </si>
  <si>
    <t>02-0G-01675</t>
  </si>
  <si>
    <t>02-0G-01676</t>
  </si>
  <si>
    <t>02-0G-01677</t>
  </si>
  <si>
    <t>02-0G-01678</t>
  </si>
  <si>
    <t>02-0G-01679</t>
  </si>
  <si>
    <t>02-0G-01680</t>
  </si>
  <si>
    <t>02-0G-01681</t>
  </si>
  <si>
    <t>02-0G-01682</t>
  </si>
  <si>
    <t>02-0G-01683</t>
  </si>
  <si>
    <t>02-0G-01684</t>
  </si>
  <si>
    <t>02-0G-01685</t>
  </si>
  <si>
    <t>02-0G-01686</t>
  </si>
  <si>
    <t>02-0G-01687</t>
  </si>
  <si>
    <t>02-0G-01688</t>
  </si>
  <si>
    <t>02-0G-01689</t>
  </si>
  <si>
    <t>02-0G-01690</t>
  </si>
  <si>
    <t>02-0G-01691</t>
  </si>
  <si>
    <t>02-0G-01692</t>
  </si>
  <si>
    <t>02-0G-01693</t>
  </si>
  <si>
    <t>02-0G-01694</t>
  </si>
  <si>
    <t>02-0G-01695</t>
  </si>
  <si>
    <t>02-0G-01696</t>
  </si>
  <si>
    <t>02-0G-01697</t>
  </si>
  <si>
    <t>02-0G-01698</t>
  </si>
  <si>
    <t>02-0G-01699</t>
  </si>
  <si>
    <t>02-0G-01700</t>
  </si>
  <si>
    <t>02-0G-01701</t>
  </si>
  <si>
    <t>02-0G-01702</t>
  </si>
  <si>
    <t>02-0G-01703</t>
  </si>
  <si>
    <t>02-0G-01704</t>
  </si>
  <si>
    <t>02-0G-01705</t>
  </si>
  <si>
    <t>02-0G-01706</t>
  </si>
  <si>
    <t>02-0G-01707</t>
  </si>
  <si>
    <t>02-0G-01708</t>
  </si>
  <si>
    <t>02-0G-01709</t>
  </si>
  <si>
    <t>02-0G-01710</t>
  </si>
  <si>
    <t>02-0G-01711</t>
  </si>
  <si>
    <t>02-0G-01712</t>
  </si>
  <si>
    <t>02-0G-01713</t>
  </si>
  <si>
    <t>02-0G-01714</t>
  </si>
  <si>
    <t>02-0G-01715</t>
  </si>
  <si>
    <t>02-0G-01716</t>
  </si>
  <si>
    <t>02-0G-01717</t>
  </si>
  <si>
    <t>02-0G-01718</t>
  </si>
  <si>
    <t>02-0G-01719</t>
  </si>
  <si>
    <t>02-0G-01720</t>
  </si>
  <si>
    <t>02-0G-01721</t>
  </si>
  <si>
    <t>02-0G-01722</t>
  </si>
  <si>
    <t>02-0G-01723</t>
  </si>
  <si>
    <t>02-0G-01724</t>
  </si>
  <si>
    <t>02-0G-01725</t>
  </si>
  <si>
    <t>02-0G-01726</t>
  </si>
  <si>
    <t>02-0G-01727</t>
  </si>
  <si>
    <t>02-0G-01728</t>
  </si>
  <si>
    <t>02-0G-01729</t>
  </si>
  <si>
    <t>02-0G-01730</t>
  </si>
  <si>
    <t xml:space="preserve">Registrador de tempetarura y humedad </t>
  </si>
  <si>
    <t>San Esteban 88 Col. Santo Tomás, Alcaldía Azcapotzalco Ciudad de México C.P. 02020</t>
  </si>
  <si>
    <t>0D-1225-0583</t>
  </si>
  <si>
    <t>5.    02-0G-00625</t>
  </si>
  <si>
    <t>0D-1225-0465</t>
  </si>
  <si>
    <t>Calibrador de procesos tipo K (1)</t>
  </si>
  <si>
    <t>Calibrador de procesos tipo K (2)</t>
  </si>
  <si>
    <t>0D-1225-0052</t>
  </si>
  <si>
    <t>0D-1225-1156</t>
  </si>
  <si>
    <t>4.    02-0G-00955</t>
  </si>
  <si>
    <t>13.  02-02-03967 (1)</t>
  </si>
  <si>
    <t>14.  02-02-03967 (2)</t>
  </si>
  <si>
    <t>02-02-03967 (1)</t>
  </si>
  <si>
    <t>02-02-03967 (2)</t>
  </si>
  <si>
    <t>02-0G-01731</t>
  </si>
  <si>
    <t>02-0G-01732</t>
  </si>
  <si>
    <t>02-0G-01733</t>
  </si>
  <si>
    <t>02-0G-01734</t>
  </si>
  <si>
    <t>02-0G-01735</t>
  </si>
  <si>
    <t>02-0G-01736</t>
  </si>
  <si>
    <t>02-0G-01737</t>
  </si>
  <si>
    <t>02-0G-01738</t>
  </si>
  <si>
    <t>02-0G-01739</t>
  </si>
  <si>
    <t>02-0G-01740</t>
  </si>
  <si>
    <t>02-0G-01741</t>
  </si>
  <si>
    <t>02-0G-01742</t>
  </si>
  <si>
    <t>02-0G-01743</t>
  </si>
  <si>
    <t>02-0G-01744</t>
  </si>
  <si>
    <t>02-0G-01745</t>
  </si>
  <si>
    <t>02-0G-01746</t>
  </si>
  <si>
    <t>02-0G-01747</t>
  </si>
  <si>
    <t>02-0G-01748</t>
  </si>
  <si>
    <t>02-0G-01749</t>
  </si>
  <si>
    <t>02-0G-01750</t>
  </si>
  <si>
    <t>02-0G-01751</t>
  </si>
  <si>
    <t>Balometro</t>
  </si>
  <si>
    <t>Yacatas</t>
  </si>
  <si>
    <t>Cedis</t>
  </si>
  <si>
    <t>02-0G-01752</t>
  </si>
  <si>
    <t>02-0G-01753</t>
  </si>
  <si>
    <t>02-0G-01754</t>
  </si>
  <si>
    <t>02-0G-01755</t>
  </si>
  <si>
    <t>02-0G-01756</t>
  </si>
  <si>
    <t>02-0G-01757</t>
  </si>
  <si>
    <t>02-0G-01758</t>
  </si>
  <si>
    <t>02-0G-01759</t>
  </si>
  <si>
    <t>02-0G-01760</t>
  </si>
  <si>
    <t>02-0G-01761</t>
  </si>
  <si>
    <t>02-0G-01762</t>
  </si>
  <si>
    <t>02-0G-01763</t>
  </si>
  <si>
    <t>02-0G-01764</t>
  </si>
  <si>
    <t>02-0G-01765</t>
  </si>
  <si>
    <t>02-0G-01766</t>
  </si>
  <si>
    <t>02-0G-01767</t>
  </si>
  <si>
    <t>02-0G-01768</t>
  </si>
  <si>
    <t>02-0G-01769</t>
  </si>
  <si>
    <t xml:space="preserve">Valvula de seguridad </t>
  </si>
  <si>
    <t>Centro de cómputo</t>
  </si>
  <si>
    <t>Tecnologias de informacion</t>
  </si>
  <si>
    <t>Esclusa de materiales mezclado de soluciones y suspensiones 2</t>
  </si>
  <si>
    <t>Marco Antonio Esquivel Balderas</t>
  </si>
  <si>
    <t>11.  02-0G-01781</t>
  </si>
  <si>
    <t>0D-1225-1540</t>
  </si>
  <si>
    <t>02-0G-01781</t>
  </si>
  <si>
    <t>02-0G-01770</t>
  </si>
  <si>
    <t>02-0G-01771</t>
  </si>
  <si>
    <t>02-0G-01772</t>
  </si>
  <si>
    <t>02-0G-01773</t>
  </si>
  <si>
    <t>02-0G-01774</t>
  </si>
  <si>
    <t>02-0G-01775</t>
  </si>
  <si>
    <t>02-0G-01776</t>
  </si>
  <si>
    <t>02-0G-01777</t>
  </si>
  <si>
    <t>02-0G-01778</t>
  </si>
  <si>
    <t>02-0G-01779</t>
  </si>
  <si>
    <t>02-0G-01780</t>
  </si>
  <si>
    <t xml:space="preserve">Calibrador de procesos </t>
  </si>
  <si>
    <t>02-0G-01782</t>
  </si>
  <si>
    <t xml:space="preserve">Calibrador digital de presion </t>
  </si>
  <si>
    <t>02-0G-01783</t>
  </si>
  <si>
    <t>Fotometro</t>
  </si>
  <si>
    <t>02-0G-01784</t>
  </si>
  <si>
    <t>Vacuometro</t>
  </si>
  <si>
    <t>02-0G-01785</t>
  </si>
  <si>
    <t>02-0G-01786</t>
  </si>
  <si>
    <t>02-0G-01787</t>
  </si>
  <si>
    <t>02-0G-01788</t>
  </si>
  <si>
    <t>02-0G-01789</t>
  </si>
  <si>
    <t>02-0G-01790</t>
  </si>
  <si>
    <t>02-0G-01791</t>
  </si>
  <si>
    <t>02-0G-01792</t>
  </si>
  <si>
    <t>02-0G-01793</t>
  </si>
  <si>
    <t>02-0G-01794</t>
  </si>
  <si>
    <t>02-0G-01795</t>
  </si>
  <si>
    <t>02-0G-01796</t>
  </si>
  <si>
    <t>02-0G-01797</t>
  </si>
  <si>
    <t>02-0G-01798</t>
  </si>
  <si>
    <t>02-0G-01799</t>
  </si>
  <si>
    <t>02-0G-01800</t>
  </si>
  <si>
    <t>02-0G-01801</t>
  </si>
  <si>
    <t>02-0G-01802</t>
  </si>
  <si>
    <t>02-0G-01803</t>
  </si>
  <si>
    <t>Flexometro</t>
  </si>
  <si>
    <t>02-0G-01804</t>
  </si>
  <si>
    <t>02-0G-01805</t>
  </si>
  <si>
    <t>02-0G-01806</t>
  </si>
  <si>
    <t>02-0G-01807</t>
  </si>
  <si>
    <t>02-0G-01808</t>
  </si>
  <si>
    <t>02-0G-01809</t>
  </si>
  <si>
    <t>02-0G-01810</t>
  </si>
  <si>
    <t>02-0G-01811</t>
  </si>
  <si>
    <t>02-0G-01812</t>
  </si>
  <si>
    <t>02-0G-01813</t>
  </si>
  <si>
    <t>02-0G-01814</t>
  </si>
  <si>
    <t>02-0G-01815</t>
  </si>
  <si>
    <t>02-0G-01816</t>
  </si>
  <si>
    <t>02-0G-01817</t>
  </si>
  <si>
    <t>02-0G-01818</t>
  </si>
  <si>
    <t>02-0G-01819</t>
  </si>
  <si>
    <t>02-0G-01820</t>
  </si>
  <si>
    <t>02-0G-01821</t>
  </si>
  <si>
    <t>02-0G-01822</t>
  </si>
  <si>
    <t>02-0G-01823</t>
  </si>
  <si>
    <t>02-0G-01824</t>
  </si>
  <si>
    <t>Area comun de oficinas mezzanine 1</t>
  </si>
  <si>
    <t>Validacion</t>
  </si>
  <si>
    <t>Laboratorio de analisis in vivo</t>
  </si>
  <si>
    <t>Biologico Virus 2</t>
  </si>
  <si>
    <t>Area tecnica</t>
  </si>
  <si>
    <t>Estacionamiento</t>
  </si>
  <si>
    <t>Pasillo cisternas</t>
  </si>
  <si>
    <t>Laboratorio de analisis fisicoquimicos</t>
  </si>
  <si>
    <t>Ricardo Israel Padua Téllez</t>
  </si>
  <si>
    <t>02-0G-01825</t>
  </si>
  <si>
    <t>02-0G-01826</t>
  </si>
  <si>
    <t>02-0G-01827</t>
  </si>
  <si>
    <t>02-0G-01828</t>
  </si>
  <si>
    <t>02-0G-01829</t>
  </si>
  <si>
    <t>02-0G-01830</t>
  </si>
  <si>
    <t>02-0G-01831</t>
  </si>
  <si>
    <t>02-0G-01832</t>
  </si>
  <si>
    <t>02-0G-01833</t>
  </si>
  <si>
    <t>02-0G-01834</t>
  </si>
  <si>
    <t>02-0G-01835</t>
  </si>
  <si>
    <t>02-0G-01836</t>
  </si>
  <si>
    <t>02-0G-01837</t>
  </si>
  <si>
    <t>02-0G-01838</t>
  </si>
  <si>
    <t>02-0G-01839</t>
  </si>
  <si>
    <t>02-0G-01840</t>
  </si>
  <si>
    <t>02-0G-01841</t>
  </si>
  <si>
    <t>02-0G-01842</t>
  </si>
  <si>
    <t>02-0G-01843</t>
  </si>
  <si>
    <t>02-0G-01844</t>
  </si>
  <si>
    <t>02-0G-01845</t>
  </si>
  <si>
    <t>02-0G-01846</t>
  </si>
  <si>
    <t>02-0G-01847</t>
  </si>
  <si>
    <t>02-0G-01848</t>
  </si>
  <si>
    <t>02-0G-01849</t>
  </si>
  <si>
    <t>02-0G-01850</t>
  </si>
  <si>
    <t>02-0G-01851</t>
  </si>
  <si>
    <t>02-0G-01852</t>
  </si>
  <si>
    <t>02-0G-01853</t>
  </si>
  <si>
    <t>02-0G-01854</t>
  </si>
  <si>
    <t>02-0G-01855</t>
  </si>
  <si>
    <t>02-0G-01856</t>
  </si>
  <si>
    <t>02-0G-01857</t>
  </si>
  <si>
    <t>02-0G-01858</t>
  </si>
  <si>
    <t>02-0G-01859</t>
  </si>
  <si>
    <t>02-0G-01860</t>
  </si>
  <si>
    <t>02-0G-01861</t>
  </si>
  <si>
    <t>02-0G-01862</t>
  </si>
  <si>
    <t>02-0G-01863</t>
  </si>
  <si>
    <t>02-0G-01864</t>
  </si>
  <si>
    <t>02-0G-01865</t>
  </si>
  <si>
    <t>02-0G-01866</t>
  </si>
  <si>
    <t>02-0G-01867</t>
  </si>
  <si>
    <t>02-0G-01868</t>
  </si>
  <si>
    <t>02-0G-01869</t>
  </si>
  <si>
    <t>02-0G-01870</t>
  </si>
  <si>
    <t>02-0G-01871</t>
  </si>
  <si>
    <t>02-0G-01872</t>
  </si>
  <si>
    <t>02-0G-01873</t>
  </si>
  <si>
    <t>02-0G-01874</t>
  </si>
  <si>
    <t>02-0G-01875</t>
  </si>
  <si>
    <t>02-0G-01876</t>
  </si>
  <si>
    <t>02-0G-01877</t>
  </si>
  <si>
    <t>02-0G-01878</t>
  </si>
  <si>
    <t>02-0G-01879</t>
  </si>
  <si>
    <t>02-0G-01880</t>
  </si>
  <si>
    <t>02-0G-01881</t>
  </si>
  <si>
    <t>02-0G-01882</t>
  </si>
  <si>
    <t>02-0G-01883</t>
  </si>
  <si>
    <t>02-0G-01884</t>
  </si>
  <si>
    <t>02-0G-01885</t>
  </si>
  <si>
    <t>02-0G-01886</t>
  </si>
  <si>
    <t>02-0G-01887</t>
  </si>
  <si>
    <t>02-0G-01888</t>
  </si>
  <si>
    <t>02-0G-01889</t>
  </si>
  <si>
    <t>02-0G-01890</t>
  </si>
  <si>
    <t>02-0G-01891</t>
  </si>
  <si>
    <t>02-0G-01892</t>
  </si>
  <si>
    <t>02-0G-01893</t>
  </si>
  <si>
    <t>02-0G-01894</t>
  </si>
  <si>
    <t>02-0G-01895</t>
  </si>
  <si>
    <t>02-0G-01896</t>
  </si>
  <si>
    <t>02-0G-01897</t>
  </si>
  <si>
    <t>02-0G-01898</t>
  </si>
  <si>
    <t>02-0G-01899</t>
  </si>
  <si>
    <t>02-0G-01900</t>
  </si>
  <si>
    <t>02-0G-01901</t>
  </si>
  <si>
    <t>02-0G-01902</t>
  </si>
  <si>
    <t>02-0G-01903</t>
  </si>
  <si>
    <t>02-0G-01904</t>
  </si>
  <si>
    <t>02-0G-01905</t>
  </si>
  <si>
    <t>02-0G-01906</t>
  </si>
  <si>
    <t>02-0G-01907</t>
  </si>
  <si>
    <t>02-0G-01908</t>
  </si>
  <si>
    <t>02-0G-01909</t>
  </si>
  <si>
    <t>02-0G-01910</t>
  </si>
  <si>
    <t>02-0G-01911</t>
  </si>
  <si>
    <t>02-0G-01912</t>
  </si>
  <si>
    <t>02-0G-01913</t>
  </si>
  <si>
    <t>02-0G-01914</t>
  </si>
  <si>
    <t>02-0G-01915</t>
  </si>
  <si>
    <t>02-0G-01916</t>
  </si>
  <si>
    <t>02-0G-01917</t>
  </si>
  <si>
    <t>02-0G-01918</t>
  </si>
  <si>
    <t>02-0G-01919</t>
  </si>
  <si>
    <t>02-0G-01920</t>
  </si>
  <si>
    <t>02-0G-01921</t>
  </si>
  <si>
    <t>02-0G-01922</t>
  </si>
  <si>
    <t>02-0G-01923</t>
  </si>
  <si>
    <t>02-0G-01924</t>
  </si>
  <si>
    <t>02-0G-01925</t>
  </si>
  <si>
    <t>02-0G-01926</t>
  </si>
  <si>
    <t>02-0G-01927</t>
  </si>
  <si>
    <t>02-0G-01928</t>
  </si>
  <si>
    <t>02-0G-01929</t>
  </si>
  <si>
    <t>02-0G-01930</t>
  </si>
  <si>
    <t>02-0G-01931</t>
  </si>
  <si>
    <t>02-0G-01932</t>
  </si>
  <si>
    <t>02-0G-01933</t>
  </si>
  <si>
    <t>02-0G-01934</t>
  </si>
  <si>
    <t>02-0G-01935</t>
  </si>
  <si>
    <t>02-0G-01936</t>
  </si>
  <si>
    <t>02-0G-01937</t>
  </si>
  <si>
    <t>02-0G-01938</t>
  </si>
  <si>
    <t>02-0G-01939</t>
  </si>
  <si>
    <t>02-0G-01940</t>
  </si>
  <si>
    <t>02-0G-01941</t>
  </si>
  <si>
    <t>02-0G-01942</t>
  </si>
  <si>
    <t>02-0G-01943</t>
  </si>
  <si>
    <t>02-0G-01944</t>
  </si>
  <si>
    <t>02-0G-01945</t>
  </si>
  <si>
    <t>02-0G-01946</t>
  </si>
  <si>
    <t>02-0G-01947</t>
  </si>
  <si>
    <t>02-0G-01948</t>
  </si>
  <si>
    <t>02-0G-01949</t>
  </si>
  <si>
    <t>02-0G-01950</t>
  </si>
  <si>
    <t>02-0G-01951</t>
  </si>
  <si>
    <t>02-0G-01952</t>
  </si>
  <si>
    <t>02-0G-01953</t>
  </si>
  <si>
    <t>02-0G-01954</t>
  </si>
  <si>
    <t>02-0G-01955</t>
  </si>
  <si>
    <t>02-0G-01956</t>
  </si>
  <si>
    <t>02-0G-01957</t>
  </si>
  <si>
    <t>02-0G-01958</t>
  </si>
  <si>
    <t>02-0G-01959</t>
  </si>
  <si>
    <t>02-0G-01960</t>
  </si>
  <si>
    <t>02-0G-01961</t>
  </si>
  <si>
    <t>02-0G-01962</t>
  </si>
  <si>
    <t>02-0G-01963</t>
  </si>
  <si>
    <t>02-0G-01964</t>
  </si>
  <si>
    <t>02-0G-01965</t>
  </si>
  <si>
    <t>02-0G-01966</t>
  </si>
  <si>
    <t>02-0G-01967</t>
  </si>
  <si>
    <t>02-0G-01968</t>
  </si>
  <si>
    <t>02-0G-01969</t>
  </si>
  <si>
    <t>02-0G-01970</t>
  </si>
  <si>
    <t>02-0G-01971</t>
  </si>
  <si>
    <t>02-0G-01972</t>
  </si>
  <si>
    <t>02-0G-01973</t>
  </si>
  <si>
    <t>02-0G-01974</t>
  </si>
  <si>
    <t>02-0G-01975</t>
  </si>
  <si>
    <t>02-0G-01976</t>
  </si>
  <si>
    <t>02-0G-01977</t>
  </si>
  <si>
    <t>02-0G-01978</t>
  </si>
  <si>
    <t>02-0G-01979</t>
  </si>
  <si>
    <t>02-0G-01980</t>
  </si>
  <si>
    <t>02-0G-01981</t>
  </si>
  <si>
    <t>02-0G-01982</t>
  </si>
  <si>
    <t>02-0G-01983</t>
  </si>
  <si>
    <t>02-0G-01984</t>
  </si>
  <si>
    <t>02-0G-01985</t>
  </si>
  <si>
    <t>02-0G-01986</t>
  </si>
  <si>
    <t>02-0G-01987</t>
  </si>
  <si>
    <t>02-0G-01988</t>
  </si>
  <si>
    <t>02-0G-01989</t>
  </si>
  <si>
    <t>02-0G-01990</t>
  </si>
  <si>
    <t>02-0G-01991</t>
  </si>
  <si>
    <t>02-0G-01992</t>
  </si>
  <si>
    <t>02-0G-01993</t>
  </si>
  <si>
    <t>02-0G-01994</t>
  </si>
  <si>
    <t>02-0G-01995</t>
  </si>
  <si>
    <t>02-0G-01996</t>
  </si>
  <si>
    <t>02-0G-01997</t>
  </si>
  <si>
    <t>02-0G-01998</t>
  </si>
  <si>
    <t>02-0G-01999</t>
  </si>
  <si>
    <t>02-0G-02000</t>
  </si>
  <si>
    <t>02-0G-02001</t>
  </si>
  <si>
    <t>02-0G-02002</t>
  </si>
  <si>
    <t>02-0G-02003</t>
  </si>
  <si>
    <t>02-0G-02004</t>
  </si>
  <si>
    <t>02-0G-02005</t>
  </si>
  <si>
    <t>02-0G-02006</t>
  </si>
  <si>
    <t>02-0G-02007</t>
  </si>
  <si>
    <t>02-0G-02008</t>
  </si>
  <si>
    <t>02-0G-02009</t>
  </si>
  <si>
    <t>02-0G-02010</t>
  </si>
  <si>
    <t>02-0G-02011</t>
  </si>
  <si>
    <t>02-0G-02012</t>
  </si>
  <si>
    <t>02-0G-02013</t>
  </si>
  <si>
    <t>02-0G-02014</t>
  </si>
  <si>
    <t>02-0G-02015</t>
  </si>
  <si>
    <t>02-0G-02016</t>
  </si>
  <si>
    <t>Distanciómetro</t>
  </si>
  <si>
    <t>02-0G-02017</t>
  </si>
  <si>
    <t>02-0G-02018</t>
  </si>
  <si>
    <t>Transmisor de temperatura y humedad</t>
  </si>
  <si>
    <t>02-0G-02019</t>
  </si>
  <si>
    <t>02-0G-02020</t>
  </si>
  <si>
    <t>02-0G-02021</t>
  </si>
  <si>
    <t>02-0G-02022</t>
  </si>
  <si>
    <t>02-0G-02023</t>
  </si>
  <si>
    <t>02-0G-02024</t>
  </si>
  <si>
    <t>02-0G-02025</t>
  </si>
  <si>
    <t>02-0G-02026</t>
  </si>
  <si>
    <t>02-0G-02027</t>
  </si>
  <si>
    <t>Interruptor de presión</t>
  </si>
  <si>
    <t>02-0G-02028</t>
  </si>
  <si>
    <t>02-0G-02029</t>
  </si>
  <si>
    <t>02-0G-02030</t>
  </si>
  <si>
    <t>02-0G-02031</t>
  </si>
  <si>
    <t>02-0G-02032</t>
  </si>
  <si>
    <t>02-0G-02033</t>
  </si>
  <si>
    <t>02-0G-02034</t>
  </si>
  <si>
    <t>02-0G-02035</t>
  </si>
  <si>
    <t>02-0G-02036</t>
  </si>
  <si>
    <t>02-0G-02037</t>
  </si>
  <si>
    <t>02-0G-02038</t>
  </si>
  <si>
    <t>02-0G-02039</t>
  </si>
  <si>
    <t>02-0G-02040</t>
  </si>
  <si>
    <t>02-0G-02041</t>
  </si>
  <si>
    <t>02-0G-02042</t>
  </si>
  <si>
    <t>02-0G-02043</t>
  </si>
  <si>
    <t>02-0G-02044</t>
  </si>
  <si>
    <t>02-0G-02045</t>
  </si>
  <si>
    <t>02-0G-02046</t>
  </si>
  <si>
    <t>Sensor de humedad</t>
  </si>
  <si>
    <t>02-0G-02047</t>
  </si>
  <si>
    <t>02-0G-02048</t>
  </si>
  <si>
    <t>02-0G-02049</t>
  </si>
  <si>
    <t>02-0G-02050</t>
  </si>
  <si>
    <t>02-0G-02051</t>
  </si>
  <si>
    <t>02-0G-02052</t>
  </si>
  <si>
    <t>02-0G-02053</t>
  </si>
  <si>
    <t>02-0G-02054</t>
  </si>
  <si>
    <t>02-0G-02055</t>
  </si>
  <si>
    <t>02-0G-02056</t>
  </si>
  <si>
    <t>02-0G-02057</t>
  </si>
  <si>
    <t>02-0G-02058</t>
  </si>
  <si>
    <t>02-0G-02059</t>
  </si>
  <si>
    <t>02-0G-02060</t>
  </si>
  <si>
    <t>02-0G-02061</t>
  </si>
  <si>
    <t>02-0G-02062</t>
  </si>
  <si>
    <t>02-0G-02063</t>
  </si>
  <si>
    <t>02-0G-02064</t>
  </si>
  <si>
    <t>02-0G-02065</t>
  </si>
  <si>
    <t>02-0G-02066</t>
  </si>
  <si>
    <t>02-0G-02067</t>
  </si>
  <si>
    <t>No crítico</t>
  </si>
  <si>
    <t xml:space="preserve">Laboratorio de Fisicoquimicos </t>
  </si>
  <si>
    <t>Lavado de materiales</t>
  </si>
  <si>
    <t>Almacén de material limpio</t>
  </si>
  <si>
    <t>Ordenes surtidas</t>
  </si>
  <si>
    <t>Revisado 2</t>
  </si>
  <si>
    <t>Esclusa de visitantes</t>
  </si>
  <si>
    <t>Vestido desvestido visitantes</t>
  </si>
  <si>
    <t>Vestido Desvestido Mujeres</t>
  </si>
  <si>
    <t>Vestido Desvestido Hombres</t>
  </si>
  <si>
    <t>Vestibulo acceso planta 2</t>
  </si>
  <si>
    <t>Salida de producto 1</t>
  </si>
  <si>
    <t xml:space="preserve">Esclusa de salida de acondicionado 1 </t>
  </si>
  <si>
    <t>Esclusa de personal de acondicionado 1</t>
  </si>
  <si>
    <t>Esclusa de personal de acondicionado  3</t>
  </si>
  <si>
    <t>Oficina de supervisores</t>
  </si>
  <si>
    <t>Almacén de materia prima</t>
  </si>
  <si>
    <t>Lavandería de uniforme periferico</t>
  </si>
  <si>
    <t>Cuarto de limpieza PB</t>
  </si>
  <si>
    <t>Vestibulo Acceso planta 2</t>
  </si>
  <si>
    <t>Esclusa salida de producto 1</t>
  </si>
  <si>
    <t>Vestidor 8 Entrada</t>
  </si>
  <si>
    <t>Vestidor 7 Salida</t>
  </si>
  <si>
    <t>Vestidor 7 Entrada</t>
  </si>
  <si>
    <t>Vestidor 8 Salida</t>
  </si>
  <si>
    <t>Esclusa de personal 2</t>
  </si>
  <si>
    <t>Esclusa de materiales 2</t>
  </si>
  <si>
    <t>Vestidor 2 Entrada</t>
  </si>
  <si>
    <t>Vestidor 1 Salida</t>
  </si>
  <si>
    <t>Vestidor 2 Salida</t>
  </si>
  <si>
    <t>Vestidor 1 Entrada</t>
  </si>
  <si>
    <t>Esclusa de personal 1</t>
  </si>
  <si>
    <t>Esclusa de materiales 1</t>
  </si>
  <si>
    <t xml:space="preserve">Esclusa area tecnica </t>
  </si>
  <si>
    <t>Area Tecnica</t>
  </si>
  <si>
    <t>Esclusa de materiales Acondicionado 1</t>
  </si>
  <si>
    <t>Esclusa de personal acondicionado 3</t>
  </si>
  <si>
    <t>Esclusa de uniforme aséptico</t>
  </si>
  <si>
    <t>Desempacado 1</t>
  </si>
  <si>
    <t>Vestidor 4</t>
  </si>
  <si>
    <t>Esclusa vestido - desvestido hombres</t>
  </si>
  <si>
    <t>Esclusa vestido - desvestido mujeres</t>
  </si>
  <si>
    <t/>
  </si>
  <si>
    <t>02-0G-02068</t>
  </si>
  <si>
    <t>02-0G-02069</t>
  </si>
  <si>
    <t>02-0G-02070</t>
  </si>
  <si>
    <t>02-0G-02071</t>
  </si>
  <si>
    <t>02-0G-02072</t>
  </si>
  <si>
    <t>02-0G-02073</t>
  </si>
  <si>
    <t>02-0G-02074</t>
  </si>
  <si>
    <t>02-0G-02075</t>
  </si>
  <si>
    <t>02-0G-02076</t>
  </si>
  <si>
    <t>02-0G-02077</t>
  </si>
  <si>
    <t>Almacén de material de envase y empaque</t>
  </si>
  <si>
    <t>0D-1226-1063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</si>
</sst>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000"/>
    <numFmt numFmtId="166" formatCode="00000"/>
    <numFmt numFmtId="167" formatCode="0.0000"/>
    <numFmt numFmtId="168" formatCode="0.00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ZapfHumnst BT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8"/>
      <name val="Arial"/>
      <family val="2"/>
    </font>
    <font>
      <sz val="9.5"/>
      <name val="Optima"/>
    </font>
    <font>
      <b/>
      <sz val="9.5"/>
      <name val="Optima"/>
    </font>
    <font>
      <sz val="9.5"/>
      <name val="Wingdings 2"/>
      <family val="1"/>
      <charset val="2"/>
    </font>
    <font>
      <sz val="9.5"/>
      <color theme="1"/>
      <name val="Optima"/>
    </font>
    <font>
      <sz val="9.5"/>
      <color theme="0"/>
      <name val="Optima"/>
    </font>
    <font>
      <sz val="9.5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sz val="8"/>
      <color theme="0"/>
      <name val="Arial"/>
      <family val="2"/>
    </font>
    <font>
      <sz val="6"/>
      <name val="Arial"/>
      <family val="2"/>
    </font>
    <font>
      <b/>
      <sz val="9.5"/>
      <name val="Optima"/>
    </font>
    <font>
      <b/>
      <vertAlign val="subscript"/>
      <sz val="8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.5"/>
      <name val="Optima"/>
    </font>
    <font>
      <sz val="9.5"/>
      <color theme="0"/>
      <name val="Optima"/>
    </font>
    <font>
      <sz val="9"/>
      <name val="Optima"/>
    </font>
    <font>
      <b/>
      <sz val="9.5"/>
      <name val="Arial"/>
      <family val="2"/>
    </font>
    <font>
      <sz val="9"/>
      <name val="Arial"/>
      <family val="2"/>
    </font>
    <font>
      <sz val="9"/>
      <color indexed="8"/>
      <name val="Calibri"/>
      <family val="2"/>
    </font>
    <font>
      <sz val="7"/>
      <color theme="1"/>
      <name val="Calibri"/>
      <family val="2"/>
      <scheme val="minor"/>
    </font>
    <font>
      <sz val="7"/>
      <name val="Arial"/>
      <family val="2"/>
    </font>
    <font>
      <b/>
      <sz val="10"/>
      <color theme="0"/>
      <name val="Optima"/>
    </font>
    <font>
      <sz val="9"/>
      <color theme="1"/>
      <name val="Optima"/>
    </font>
    <font>
      <sz val="9"/>
      <color rgb="FF000000"/>
      <name val="Optima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0" fontId="4" fillId="0" borderId="0"/>
    <xf numFmtId="0" fontId="3" fillId="0" borderId="0"/>
    <xf numFmtId="43" fontId="8" fillId="0" borderId="0" applyFont="0" applyFill="0" applyBorder="0" applyAlignment="0" applyProtection="0"/>
    <xf numFmtId="0" fontId="9" fillId="0" borderId="0"/>
    <xf numFmtId="0" fontId="2" fillId="0" borderId="0"/>
    <xf numFmtId="0" fontId="1" fillId="0" borderId="0"/>
  </cellStyleXfs>
  <cellXfs count="262">
    <xf numFmtId="0" fontId="0" fillId="0" borderId="0" xfId="0"/>
    <xf numFmtId="0" fontId="0" fillId="0" borderId="0" xfId="0" applyProtection="1">
      <protection hidden="1"/>
    </xf>
    <xf numFmtId="0" fontId="7" fillId="0" borderId="0" xfId="0" applyFont="1" applyProtection="1">
      <protection hidden="1"/>
    </xf>
    <xf numFmtId="0" fontId="5" fillId="0" borderId="0" xfId="0" applyFont="1" applyProtection="1">
      <protection hidden="1"/>
    </xf>
    <xf numFmtId="165" fontId="0" fillId="0" borderId="0" xfId="0" applyNumberFormat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17" fontId="0" fillId="0" borderId="0" xfId="0" applyNumberFormat="1" applyProtection="1">
      <protection hidden="1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15" fontId="11" fillId="0" borderId="0" xfId="0" applyNumberFormat="1" applyFont="1" applyAlignment="1">
      <alignment horizontal="center"/>
    </xf>
    <xf numFmtId="0" fontId="11" fillId="0" borderId="24" xfId="0" applyFont="1" applyBorder="1"/>
    <xf numFmtId="0" fontId="11" fillId="0" borderId="0" xfId="0" applyFont="1" applyAlignment="1">
      <alignment horizontal="left"/>
    </xf>
    <xf numFmtId="0" fontId="11" fillId="0" borderId="0" xfId="1" applyFont="1" applyAlignment="1" applyProtection="1">
      <alignment horizontal="left"/>
      <protection hidden="1"/>
    </xf>
    <xf numFmtId="0" fontId="12" fillId="0" borderId="0" xfId="0" applyFont="1" applyAlignment="1">
      <alignment horizontal="right"/>
    </xf>
    <xf numFmtId="17" fontId="11" fillId="0" borderId="0" xfId="1" applyNumberFormat="1" applyFont="1" applyAlignment="1" applyProtection="1">
      <alignment horizontal="left"/>
      <protection hidden="1"/>
    </xf>
    <xf numFmtId="0" fontId="11" fillId="0" borderId="0" xfId="0" applyFont="1" applyAlignment="1">
      <alignment horizontal="right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17" fontId="12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7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/>
    <xf numFmtId="0" fontId="14" fillId="0" borderId="0" xfId="1" applyFont="1" applyAlignment="1" applyProtection="1">
      <alignment wrapText="1"/>
      <protection hidden="1"/>
    </xf>
    <xf numFmtId="0" fontId="14" fillId="0" borderId="0" xfId="1" applyFont="1" applyProtection="1">
      <protection hidden="1"/>
    </xf>
    <xf numFmtId="0" fontId="15" fillId="0" borderId="0" xfId="0" applyFont="1"/>
    <xf numFmtId="9" fontId="10" fillId="0" borderId="0" xfId="0" applyNumberFormat="1" applyFont="1" applyAlignment="1" applyProtection="1">
      <alignment horizontal="center"/>
      <protection hidden="1"/>
    </xf>
    <xf numFmtId="168" fontId="11" fillId="0" borderId="2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Protection="1">
      <protection hidden="1"/>
    </xf>
    <xf numFmtId="0" fontId="17" fillId="0" borderId="2" xfId="0" applyFont="1" applyBorder="1"/>
    <xf numFmtId="17" fontId="17" fillId="0" borderId="2" xfId="0" applyNumberFormat="1" applyFont="1" applyBorder="1"/>
    <xf numFmtId="0" fontId="10" fillId="0" borderId="2" xfId="0" applyFont="1" applyBorder="1"/>
    <xf numFmtId="15" fontId="17" fillId="0" borderId="0" xfId="0" applyNumberFormat="1" applyFont="1" applyAlignment="1" applyProtection="1">
      <alignment horizontal="center"/>
      <protection locked="0" hidden="1"/>
    </xf>
    <xf numFmtId="1" fontId="17" fillId="2" borderId="7" xfId="0" applyNumberFormat="1" applyFont="1" applyFill="1" applyBorder="1" applyAlignment="1" applyProtection="1">
      <alignment horizontal="center"/>
      <protection locked="0" hidden="1"/>
    </xf>
    <xf numFmtId="0" fontId="17" fillId="0" borderId="0" xfId="0" applyFont="1" applyAlignment="1" applyProtection="1">
      <alignment horizontal="center"/>
      <protection locked="0" hidden="1"/>
    </xf>
    <xf numFmtId="15" fontId="10" fillId="0" borderId="0" xfId="0" applyNumberFormat="1" applyFont="1" applyAlignment="1" applyProtection="1">
      <alignment horizontal="center"/>
      <protection hidden="1"/>
    </xf>
    <xf numFmtId="0" fontId="17" fillId="2" borderId="2" xfId="0" applyFont="1" applyFill="1" applyBorder="1" applyAlignment="1" applyProtection="1">
      <alignment vertical="center"/>
      <protection locked="0" hidden="1"/>
    </xf>
    <xf numFmtId="166" fontId="17" fillId="2" borderId="2" xfId="0" applyNumberFormat="1" applyFont="1" applyFill="1" applyBorder="1" applyAlignment="1" applyProtection="1">
      <alignment vertical="center"/>
      <protection locked="0" hidden="1"/>
    </xf>
    <xf numFmtId="166" fontId="17" fillId="0" borderId="0" xfId="0" applyNumberFormat="1" applyFont="1" applyProtection="1">
      <protection locked="0"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7" fillId="2" borderId="2" xfId="0" applyFont="1" applyFill="1" applyBorder="1" applyAlignment="1" applyProtection="1">
      <alignment horizontal="center" vertical="center"/>
      <protection locked="0" hidden="1"/>
    </xf>
    <xf numFmtId="0" fontId="17" fillId="0" borderId="0" xfId="0" applyFont="1" applyProtection="1">
      <protection locked="0" hidden="1"/>
    </xf>
    <xf numFmtId="0" fontId="17" fillId="0" borderId="15" xfId="0" applyFont="1" applyBorder="1"/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23" xfId="0" applyFont="1" applyBorder="1"/>
    <xf numFmtId="12" fontId="17" fillId="2" borderId="2" xfId="0" applyNumberFormat="1" applyFont="1" applyFill="1" applyBorder="1" applyAlignment="1" applyProtection="1">
      <alignment horizontal="center" vertical="center"/>
      <protection locked="0" hidden="1"/>
    </xf>
    <xf numFmtId="0" fontId="17" fillId="4" borderId="2" xfId="0" applyFont="1" applyFill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/>
      <protection hidden="1"/>
    </xf>
    <xf numFmtId="0" fontId="17" fillId="2" borderId="2" xfId="0" applyFont="1" applyFill="1" applyBorder="1" applyAlignment="1" applyProtection="1">
      <alignment horizontal="center"/>
      <protection locked="0" hidden="1"/>
    </xf>
    <xf numFmtId="0" fontId="19" fillId="0" borderId="0" xfId="0" applyFont="1" applyProtection="1">
      <protection hidden="1"/>
    </xf>
    <xf numFmtId="2" fontId="17" fillId="0" borderId="0" xfId="0" applyNumberFormat="1" applyFont="1" applyProtection="1">
      <protection hidden="1"/>
    </xf>
    <xf numFmtId="165" fontId="17" fillId="0" borderId="0" xfId="0" applyNumberFormat="1" applyFont="1" applyProtection="1">
      <protection hidden="1"/>
    </xf>
    <xf numFmtId="0" fontId="17" fillId="0" borderId="2" xfId="0" applyFont="1" applyBorder="1" applyProtection="1">
      <protection hidden="1"/>
    </xf>
    <xf numFmtId="0" fontId="17" fillId="0" borderId="4" xfId="0" applyFont="1" applyBorder="1"/>
    <xf numFmtId="0" fontId="17" fillId="0" borderId="3" xfId="0" applyFont="1" applyBorder="1"/>
    <xf numFmtId="0" fontId="17" fillId="0" borderId="0" xfId="0" applyFont="1" applyAlignment="1">
      <alignment horizontal="center"/>
    </xf>
    <xf numFmtId="2" fontId="10" fillId="0" borderId="2" xfId="0" applyNumberFormat="1" applyFont="1" applyBorder="1" applyAlignment="1" applyProtection="1">
      <alignment horizontal="center" vertical="center" wrapText="1"/>
      <protection locked="0" hidden="1"/>
    </xf>
    <xf numFmtId="0" fontId="10" fillId="0" borderId="0" xfId="0" applyFont="1" applyAlignment="1" applyProtection="1">
      <alignment horizontal="center"/>
      <protection hidden="1"/>
    </xf>
    <xf numFmtId="168" fontId="17" fillId="0" borderId="2" xfId="0" applyNumberFormat="1" applyFont="1" applyBorder="1"/>
    <xf numFmtId="49" fontId="20" fillId="0" borderId="0" xfId="0" applyNumberFormat="1" applyFont="1" applyAlignment="1">
      <alignment vertical="top"/>
    </xf>
    <xf numFmtId="0" fontId="20" fillId="0" borderId="0" xfId="0" applyFont="1"/>
    <xf numFmtId="0" fontId="19" fillId="0" borderId="0" xfId="0" applyFont="1"/>
    <xf numFmtId="0" fontId="21" fillId="0" borderId="0" xfId="0" applyFont="1"/>
    <xf numFmtId="0" fontId="10" fillId="0" borderId="2" xfId="0" applyFont="1" applyBorder="1" applyAlignment="1">
      <alignment horizontal="center"/>
    </xf>
    <xf numFmtId="0" fontId="17" fillId="0" borderId="11" xfId="0" applyFont="1" applyBorder="1"/>
    <xf numFmtId="0" fontId="17" fillId="0" borderId="25" xfId="0" applyFont="1" applyBorder="1"/>
    <xf numFmtId="0" fontId="17" fillId="0" borderId="7" xfId="0" applyFont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center" vertical="center"/>
      <protection locked="0" hidden="1"/>
    </xf>
    <xf numFmtId="0" fontId="17" fillId="0" borderId="25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15" xfId="0" applyFont="1" applyBorder="1" applyProtection="1">
      <protection hidden="1"/>
    </xf>
    <xf numFmtId="0" fontId="17" fillId="0" borderId="6" xfId="0" applyFont="1" applyBorder="1"/>
    <xf numFmtId="0" fontId="17" fillId="0" borderId="2" xfId="0" applyFont="1" applyBorder="1" applyAlignment="1" applyProtection="1">
      <alignment horizontal="center" vertical="center"/>
      <protection locked="0" hidden="1"/>
    </xf>
    <xf numFmtId="168" fontId="17" fillId="0" borderId="0" xfId="0" applyNumberFormat="1" applyFont="1" applyAlignment="1" applyProtection="1">
      <alignment horizontal="center" vertical="center"/>
      <protection locked="0" hidden="1"/>
    </xf>
    <xf numFmtId="0" fontId="10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locked="0" hidden="1"/>
    </xf>
    <xf numFmtId="2" fontId="17" fillId="0" borderId="0" xfId="0" applyNumberFormat="1" applyFont="1" applyAlignment="1" applyProtection="1">
      <alignment horizontal="center" vertical="center"/>
      <protection locked="0" hidden="1"/>
    </xf>
    <xf numFmtId="168" fontId="17" fillId="0" borderId="0" xfId="0" applyNumberFormat="1" applyFont="1" applyAlignment="1" applyProtection="1">
      <alignment horizontal="center" vertical="center"/>
      <protection hidden="1"/>
    </xf>
    <xf numFmtId="1" fontId="17" fillId="0" borderId="0" xfId="0" applyNumberFormat="1" applyFont="1" applyAlignment="1" applyProtection="1">
      <alignment horizontal="center" vertical="center"/>
      <protection locked="0"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1" fontId="17" fillId="0" borderId="2" xfId="0" applyNumberFormat="1" applyFont="1" applyBorder="1" applyAlignment="1" applyProtection="1">
      <alignment horizontal="center" vertical="center"/>
      <protection hidden="1"/>
    </xf>
    <xf numFmtId="1" fontId="17" fillId="0" borderId="2" xfId="0" applyNumberFormat="1" applyFont="1" applyBorder="1" applyAlignment="1" applyProtection="1">
      <alignment horizontal="center" vertical="center"/>
      <protection locked="0"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Alignment="1">
      <alignment horizontal="left"/>
    </xf>
    <xf numFmtId="0" fontId="10" fillId="0" borderId="0" xfId="0" applyFont="1" applyAlignment="1" applyProtection="1">
      <alignment horizontal="left"/>
      <protection hidden="1"/>
    </xf>
    <xf numFmtId="0" fontId="10" fillId="0" borderId="23" xfId="0" applyFont="1" applyBorder="1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49" fontId="17" fillId="0" borderId="0" xfId="0" applyNumberFormat="1" applyFont="1" applyAlignment="1">
      <alignment vertical="top"/>
    </xf>
    <xf numFmtId="49" fontId="17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left"/>
    </xf>
    <xf numFmtId="168" fontId="17" fillId="0" borderId="2" xfId="0" applyNumberFormat="1" applyFont="1" applyBorder="1" applyAlignment="1">
      <alignment horizontal="center" vertical="top"/>
    </xf>
    <xf numFmtId="0" fontId="17" fillId="7" borderId="26" xfId="0" applyFont="1" applyFill="1" applyBorder="1" applyAlignment="1" applyProtection="1">
      <alignment horizontal="center"/>
      <protection hidden="1"/>
    </xf>
    <xf numFmtId="0" fontId="10" fillId="0" borderId="0" xfId="0" applyFont="1" applyAlignment="1">
      <alignment horizontal="center"/>
    </xf>
    <xf numFmtId="168" fontId="17" fillId="0" borderId="25" xfId="0" applyNumberFormat="1" applyFont="1" applyBorder="1"/>
    <xf numFmtId="168" fontId="17" fillId="0" borderId="25" xfId="0" applyNumberFormat="1" applyFont="1" applyBorder="1" applyAlignment="1">
      <alignment horizontal="center"/>
    </xf>
    <xf numFmtId="168" fontId="17" fillId="0" borderId="0" xfId="0" applyNumberFormat="1" applyFont="1"/>
    <xf numFmtId="168" fontId="17" fillId="0" borderId="0" xfId="0" applyNumberFormat="1" applyFont="1" applyProtection="1">
      <protection hidden="1"/>
    </xf>
    <xf numFmtId="49" fontId="23" fillId="0" borderId="2" xfId="0" applyNumberFormat="1" applyFont="1" applyBorder="1"/>
    <xf numFmtId="168" fontId="17" fillId="0" borderId="2" xfId="0" applyNumberFormat="1" applyFont="1" applyBorder="1" applyAlignment="1">
      <alignment vertical="top"/>
    </xf>
    <xf numFmtId="164" fontId="10" fillId="0" borderId="4" xfId="0" applyNumberFormat="1" applyFont="1" applyBorder="1"/>
    <xf numFmtId="164" fontId="10" fillId="0" borderId="3" xfId="0" applyNumberFormat="1" applyFont="1" applyBorder="1"/>
    <xf numFmtId="168" fontId="17" fillId="0" borderId="4" xfId="0" applyNumberFormat="1" applyFont="1" applyBorder="1"/>
    <xf numFmtId="168" fontId="17" fillId="0" borderId="4" xfId="0" applyNumberFormat="1" applyFont="1" applyBorder="1" applyAlignment="1">
      <alignment wrapText="1"/>
    </xf>
    <xf numFmtId="1" fontId="17" fillId="0" borderId="0" xfId="0" applyNumberFormat="1" applyFont="1"/>
    <xf numFmtId="168" fontId="17" fillId="0" borderId="3" xfId="0" applyNumberFormat="1" applyFont="1" applyBorder="1" applyAlignment="1">
      <alignment wrapText="1"/>
    </xf>
    <xf numFmtId="0" fontId="26" fillId="0" borderId="0" xfId="0" applyFont="1"/>
    <xf numFmtId="0" fontId="13" fillId="0" borderId="0" xfId="0" applyFont="1" applyAlignment="1">
      <alignment vertical="center" wrapText="1"/>
    </xf>
    <xf numFmtId="0" fontId="27" fillId="0" borderId="0" xfId="0" applyFont="1"/>
    <xf numFmtId="0" fontId="11" fillId="0" borderId="0" xfId="1" applyFont="1" applyProtection="1">
      <protection hidden="1"/>
    </xf>
    <xf numFmtId="2" fontId="11" fillId="0" borderId="0" xfId="0" applyNumberFormat="1" applyFont="1"/>
    <xf numFmtId="2" fontId="16" fillId="0" borderId="0" xfId="0" applyNumberFormat="1" applyFont="1"/>
    <xf numFmtId="0" fontId="12" fillId="0" borderId="27" xfId="0" applyFont="1" applyBorder="1"/>
    <xf numFmtId="0" fontId="28" fillId="0" borderId="1" xfId="0" applyFont="1" applyBorder="1" applyAlignment="1">
      <alignment horizontal="center" vertical="center"/>
    </xf>
    <xf numFmtId="164" fontId="17" fillId="7" borderId="2" xfId="0" applyNumberFormat="1" applyFont="1" applyFill="1" applyBorder="1" applyAlignment="1" applyProtection="1">
      <alignment horizontal="center"/>
      <protection locked="0" hidden="1"/>
    </xf>
    <xf numFmtId="168" fontId="17" fillId="2" borderId="7" xfId="0" applyNumberFormat="1" applyFont="1" applyFill="1" applyBorder="1" applyAlignment="1" applyProtection="1">
      <alignment horizontal="center"/>
      <protection locked="0" hidden="1"/>
    </xf>
    <xf numFmtId="0" fontId="17" fillId="0" borderId="23" xfId="0" applyFont="1" applyBorder="1" applyAlignment="1">
      <alignment horizontal="left"/>
    </xf>
    <xf numFmtId="165" fontId="18" fillId="0" borderId="0" xfId="2" applyNumberFormat="1" applyFont="1" applyAlignment="1">
      <alignment horizontal="center" vertical="center"/>
    </xf>
    <xf numFmtId="17" fontId="17" fillId="0" borderId="0" xfId="0" applyNumberFormat="1" applyFont="1"/>
    <xf numFmtId="164" fontId="11" fillId="0" borderId="2" xfId="0" applyNumberFormat="1" applyFont="1" applyBorder="1" applyAlignment="1">
      <alignment horizontal="center" vertical="center"/>
    </xf>
    <xf numFmtId="1" fontId="19" fillId="0" borderId="0" xfId="0" applyNumberFormat="1" applyFont="1" applyProtection="1">
      <protection hidden="1"/>
    </xf>
    <xf numFmtId="168" fontId="19" fillId="0" borderId="0" xfId="0" applyNumberFormat="1" applyFont="1" applyAlignment="1" applyProtection="1">
      <alignment horizontal="center" vertical="center"/>
      <protection hidden="1"/>
    </xf>
    <xf numFmtId="164" fontId="17" fillId="2" borderId="2" xfId="0" applyNumberFormat="1" applyFont="1" applyFill="1" applyBorder="1" applyAlignment="1" applyProtection="1">
      <alignment horizontal="center" vertical="center"/>
      <protection locked="0" hidden="1"/>
    </xf>
    <xf numFmtId="14" fontId="29" fillId="0" borderId="0" xfId="0" applyNumberFormat="1" applyFont="1"/>
    <xf numFmtId="0" fontId="29" fillId="0" borderId="0" xfId="0" applyFont="1"/>
    <xf numFmtId="0" fontId="30" fillId="0" borderId="0" xfId="2" applyFont="1" applyAlignment="1">
      <alignment horizontal="center" vertical="center"/>
    </xf>
    <xf numFmtId="0" fontId="30" fillId="0" borderId="0" xfId="2" applyFont="1" applyAlignment="1">
      <alignment horizontal="center" vertical="center" wrapText="1"/>
    </xf>
    <xf numFmtId="0" fontId="30" fillId="5" borderId="0" xfId="2" applyFont="1" applyFill="1" applyAlignment="1">
      <alignment horizontal="center" vertical="center"/>
    </xf>
    <xf numFmtId="0" fontId="29" fillId="5" borderId="0" xfId="0" applyFont="1" applyFill="1"/>
    <xf numFmtId="0" fontId="18" fillId="0" borderId="0" xfId="2" applyFont="1" applyAlignment="1">
      <alignment horizontal="center" vertical="center"/>
    </xf>
    <xf numFmtId="11" fontId="18" fillId="0" borderId="0" xfId="2" applyNumberFormat="1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3" fillId="0" borderId="19" xfId="0" applyFont="1" applyBorder="1" applyAlignment="1" applyProtection="1">
      <alignment horizontal="center"/>
      <protection hidden="1"/>
    </xf>
    <xf numFmtId="2" fontId="23" fillId="0" borderId="0" xfId="0" applyNumberFormat="1" applyFont="1" applyProtection="1">
      <protection hidden="1"/>
    </xf>
    <xf numFmtId="0" fontId="23" fillId="0" borderId="20" xfId="0" applyFont="1" applyBorder="1" applyProtection="1">
      <protection hidden="1"/>
    </xf>
    <xf numFmtId="0" fontId="23" fillId="0" borderId="0" xfId="0" applyFont="1" applyProtection="1">
      <protection hidden="1"/>
    </xf>
    <xf numFmtId="0" fontId="23" fillId="0" borderId="20" xfId="0" applyFont="1" applyBorder="1" applyAlignment="1" applyProtection="1">
      <alignment horizontal="right"/>
      <protection hidden="1"/>
    </xf>
    <xf numFmtId="0" fontId="23" fillId="0" borderId="19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0" xfId="0" applyFont="1" applyBorder="1" applyAlignment="1" applyProtection="1">
      <alignment horizontal="center"/>
      <protection hidden="1"/>
    </xf>
    <xf numFmtId="0" fontId="29" fillId="0" borderId="19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0" xfId="0" applyFont="1" applyBorder="1" applyAlignment="1">
      <alignment horizontal="center"/>
    </xf>
    <xf numFmtId="168" fontId="29" fillId="0" borderId="0" xfId="0" applyNumberFormat="1" applyFont="1" applyAlignment="1">
      <alignment horizontal="center"/>
    </xf>
    <xf numFmtId="0" fontId="29" fillId="0" borderId="0" xfId="0" applyFont="1" applyAlignment="1" applyProtection="1">
      <alignment horizontal="center"/>
      <protection hidden="1"/>
    </xf>
    <xf numFmtId="0" fontId="29" fillId="0" borderId="20" xfId="0" applyFont="1" applyBorder="1" applyAlignment="1" applyProtection="1">
      <alignment horizontal="center"/>
      <protection hidden="1"/>
    </xf>
    <xf numFmtId="167" fontId="29" fillId="0" borderId="19" xfId="0" applyNumberFormat="1" applyFont="1" applyBorder="1" applyAlignment="1">
      <alignment horizontal="center"/>
    </xf>
    <xf numFmtId="167" fontId="29" fillId="0" borderId="0" xfId="0" applyNumberFormat="1" applyFont="1" applyAlignment="1" applyProtection="1">
      <alignment horizontal="center"/>
      <protection hidden="1"/>
    </xf>
    <xf numFmtId="167" fontId="29" fillId="0" borderId="20" xfId="0" applyNumberFormat="1" applyFont="1" applyBorder="1" applyAlignment="1" applyProtection="1">
      <alignment horizontal="center"/>
      <protection hidden="1"/>
    </xf>
    <xf numFmtId="167" fontId="29" fillId="0" borderId="0" xfId="0" applyNumberFormat="1" applyFont="1" applyAlignment="1">
      <alignment horizontal="center"/>
    </xf>
    <xf numFmtId="167" fontId="29" fillId="0" borderId="20" xfId="0" applyNumberFormat="1" applyFont="1" applyBorder="1" applyAlignment="1">
      <alignment horizontal="center"/>
    </xf>
    <xf numFmtId="168" fontId="29" fillId="0" borderId="0" xfId="0" applyNumberFormat="1" applyFont="1" applyAlignment="1" applyProtection="1">
      <alignment horizontal="center"/>
      <protection hidden="1"/>
    </xf>
    <xf numFmtId="0" fontId="29" fillId="0" borderId="19" xfId="0" applyFont="1" applyBorder="1" applyAlignment="1" applyProtection="1">
      <alignment horizontal="center"/>
      <protection hidden="1"/>
    </xf>
    <xf numFmtId="0" fontId="29" fillId="0" borderId="20" xfId="0" applyFont="1" applyBorder="1"/>
    <xf numFmtId="2" fontId="29" fillId="0" borderId="19" xfId="0" applyNumberFormat="1" applyFont="1" applyBorder="1" applyAlignment="1">
      <alignment horizontal="center"/>
    </xf>
    <xf numFmtId="2" fontId="29" fillId="0" borderId="0" xfId="0" applyNumberFormat="1" applyFont="1" applyAlignment="1">
      <alignment horizontal="center"/>
    </xf>
    <xf numFmtId="0" fontId="29" fillId="0" borderId="19" xfId="0" applyFont="1" applyBorder="1"/>
    <xf numFmtId="0" fontId="29" fillId="0" borderId="21" xfId="0" applyFont="1" applyBorder="1" applyAlignment="1">
      <alignment horizontal="center"/>
    </xf>
    <xf numFmtId="0" fontId="29" fillId="0" borderId="8" xfId="0" applyFont="1" applyBorder="1"/>
    <xf numFmtId="0" fontId="29" fillId="0" borderId="22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21" xfId="0" applyFont="1" applyBorder="1"/>
    <xf numFmtId="0" fontId="29" fillId="0" borderId="22" xfId="0" applyFont="1" applyBorder="1"/>
    <xf numFmtId="0" fontId="23" fillId="0" borderId="0" xfId="0" applyFont="1" applyAlignment="1" applyProtection="1">
      <alignment horizontal="center"/>
      <protection hidden="1"/>
    </xf>
    <xf numFmtId="0" fontId="23" fillId="0" borderId="16" xfId="0" applyFont="1" applyBorder="1" applyAlignment="1">
      <alignment horizontal="center"/>
    </xf>
    <xf numFmtId="2" fontId="29" fillId="0" borderId="19" xfId="0" applyNumberFormat="1" applyFont="1" applyBorder="1"/>
    <xf numFmtId="167" fontId="23" fillId="3" borderId="0" xfId="0" applyNumberFormat="1" applyFont="1" applyFill="1"/>
    <xf numFmtId="165" fontId="29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167" fontId="23" fillId="0" borderId="0" xfId="0" applyNumberFormat="1" applyFont="1"/>
    <xf numFmtId="167" fontId="23" fillId="0" borderId="0" xfId="0" applyNumberFormat="1" applyFont="1" applyAlignment="1">
      <alignment horizontal="right"/>
    </xf>
    <xf numFmtId="167" fontId="29" fillId="0" borderId="0" xfId="0" applyNumberFormat="1" applyFont="1"/>
    <xf numFmtId="164" fontId="29" fillId="0" borderId="19" xfId="0" applyNumberFormat="1" applyFont="1" applyBorder="1" applyAlignment="1">
      <alignment horizontal="center"/>
    </xf>
    <xf numFmtId="0" fontId="17" fillId="2" borderId="4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>
      <alignment horizontal="center" vertical="top"/>
    </xf>
    <xf numFmtId="49" fontId="32" fillId="0" borderId="0" xfId="0" applyNumberFormat="1" applyFont="1" applyAlignment="1">
      <alignment vertical="top"/>
    </xf>
    <xf numFmtId="0" fontId="17" fillId="0" borderId="2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horizontal="right" vertical="center"/>
      <protection locked="0" hidden="1"/>
    </xf>
    <xf numFmtId="14" fontId="15" fillId="0" borderId="0" xfId="0" applyNumberFormat="1" applyFont="1"/>
    <xf numFmtId="0" fontId="1" fillId="0" borderId="0" xfId="6" applyAlignment="1">
      <alignment horizontal="center"/>
    </xf>
    <xf numFmtId="0" fontId="1" fillId="0" borderId="0" xfId="6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28" xfId="0" applyFont="1" applyBorder="1" applyAlignment="1">
      <alignment horizontal="left" vertical="center"/>
    </xf>
    <xf numFmtId="49" fontId="32" fillId="0" borderId="0" xfId="0" applyNumberFormat="1" applyFont="1" applyAlignment="1">
      <alignment horizontal="center" vertical="top"/>
    </xf>
    <xf numFmtId="0" fontId="10" fillId="0" borderId="0" xfId="0" applyFont="1" applyAlignment="1" applyProtection="1">
      <alignment horizontal="left"/>
      <protection hidden="1"/>
    </xf>
    <xf numFmtId="0" fontId="10" fillId="0" borderId="23" xfId="0" applyFont="1" applyBorder="1" applyAlignment="1" applyProtection="1">
      <alignment horizontal="left"/>
      <protection hidden="1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/>
      <protection hidden="1"/>
    </xf>
    <xf numFmtId="164" fontId="17" fillId="7" borderId="4" xfId="0" applyNumberFormat="1" applyFont="1" applyFill="1" applyBorder="1" applyAlignment="1" applyProtection="1">
      <alignment horizontal="center"/>
      <protection locked="0" hidden="1"/>
    </xf>
    <xf numFmtId="164" fontId="17" fillId="7" borderId="3" xfId="0" applyNumberFormat="1" applyFont="1" applyFill="1" applyBorder="1" applyAlignment="1" applyProtection="1">
      <alignment horizontal="center"/>
      <protection locked="0" hidden="1"/>
    </xf>
    <xf numFmtId="15" fontId="17" fillId="2" borderId="9" xfId="0" applyNumberFormat="1" applyFont="1" applyFill="1" applyBorder="1" applyAlignment="1" applyProtection="1">
      <alignment horizontal="center"/>
      <protection locked="0" hidden="1"/>
    </xf>
    <xf numFmtId="15" fontId="17" fillId="2" borderId="10" xfId="0" applyNumberFormat="1" applyFont="1" applyFill="1" applyBorder="1" applyAlignment="1" applyProtection="1">
      <alignment horizontal="center"/>
      <protection locked="0" hidden="1"/>
    </xf>
    <xf numFmtId="0" fontId="17" fillId="2" borderId="4" xfId="0" applyFont="1" applyFill="1" applyBorder="1" applyAlignment="1" applyProtection="1">
      <alignment horizontal="center" vertical="center"/>
      <protection hidden="1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left"/>
      <protection hidden="1"/>
    </xf>
    <xf numFmtId="0" fontId="10" fillId="0" borderId="2" xfId="0" applyFont="1" applyBorder="1" applyAlignment="1">
      <alignment horizontal="center"/>
    </xf>
    <xf numFmtId="0" fontId="10" fillId="0" borderId="20" xfId="0" applyFont="1" applyBorder="1" applyAlignment="1" applyProtection="1">
      <alignment horizontal="left"/>
      <protection hidden="1"/>
    </xf>
    <xf numFmtId="165" fontId="18" fillId="0" borderId="15" xfId="2" applyNumberFormat="1" applyFont="1" applyBorder="1" applyAlignment="1">
      <alignment horizontal="center" vertical="center"/>
    </xf>
    <xf numFmtId="165" fontId="18" fillId="0" borderId="0" xfId="2" applyNumberFormat="1" applyFont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7" fillId="0" borderId="0" xfId="0" applyFont="1" applyAlignment="1">
      <alignment horizontal="center"/>
    </xf>
    <xf numFmtId="0" fontId="17" fillId="0" borderId="15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0" fontId="17" fillId="2" borderId="2" xfId="0" applyFont="1" applyFill="1" applyBorder="1" applyAlignment="1" applyProtection="1">
      <alignment horizontal="center" vertical="center"/>
      <protection locked="0" hidden="1"/>
    </xf>
    <xf numFmtId="0" fontId="10" fillId="0" borderId="5" xfId="0" applyFont="1" applyBorder="1" applyAlignment="1" applyProtection="1">
      <alignment horizontal="center"/>
      <protection hidden="1"/>
    </xf>
    <xf numFmtId="0" fontId="17" fillId="0" borderId="4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 applyProtection="1">
      <alignment horizontal="center"/>
      <protection hidden="1"/>
    </xf>
    <xf numFmtId="0" fontId="10" fillId="6" borderId="0" xfId="0" applyFont="1" applyFill="1" applyAlignment="1" applyProtection="1">
      <alignment horizontal="center"/>
      <protection hidden="1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 applyProtection="1">
      <alignment horizontal="left"/>
      <protection hidden="1"/>
    </xf>
    <xf numFmtId="0" fontId="17" fillId="0" borderId="23" xfId="0" applyFont="1" applyBorder="1" applyAlignment="1" applyProtection="1">
      <alignment horizontal="left"/>
      <protection hidden="1"/>
    </xf>
    <xf numFmtId="0" fontId="17" fillId="0" borderId="2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27" fillId="0" borderId="0" xfId="0" applyFont="1" applyAlignment="1">
      <alignment horizontal="justify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17" fontId="23" fillId="0" borderId="19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0" xfId="0" applyFont="1" applyBorder="1" applyAlignment="1">
      <alignment horizontal="center"/>
    </xf>
    <xf numFmtId="17" fontId="23" fillId="0" borderId="0" xfId="0" applyNumberFormat="1" applyFont="1" applyAlignment="1">
      <alignment horizontal="center"/>
    </xf>
    <xf numFmtId="17" fontId="23" fillId="0" borderId="20" xfId="0" applyNumberFormat="1" applyFont="1" applyBorder="1" applyAlignment="1">
      <alignment horizontal="center"/>
    </xf>
  </cellXfs>
  <cellStyles count="7">
    <cellStyle name="Millares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</cellStyles>
  <dxfs count="40"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>
          <bgColor theme="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 style="thin">
          <color auto="1"/>
        </top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 style="thin">
          <color auto="1"/>
        </top>
        <bottom/>
        <vertical/>
        <horizontal/>
      </border>
    </dxf>
    <dxf>
      <font>
        <color theme="0"/>
      </font>
      <border>
        <left/>
        <right/>
        <top style="thin">
          <color auto="1"/>
        </top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 style="thin">
          <color auto="1"/>
        </top>
        <bottom/>
        <vertical/>
        <horizontal/>
      </border>
    </dxf>
    <dxf>
      <font>
        <color theme="0"/>
      </font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lightTrellis">
          <bgColor theme="0" tint="-0.34998626667073579"/>
        </patternFill>
      </fill>
    </dxf>
    <dxf>
      <fill>
        <patternFill patternType="lightTrellis">
          <bgColor theme="0" tint="-0.34998626667073579"/>
        </patternFill>
      </fill>
    </dxf>
    <dxf>
      <fill>
        <patternFill patternType="lightTrellis">
          <bgColor theme="0" tint="-0.34998626667073579"/>
        </patternFill>
      </fill>
    </dxf>
    <dxf>
      <font>
        <color theme="0" tint="-0.34998626667073579"/>
      </font>
      <fill>
        <patternFill patternType="lightUp">
          <fgColor auto="1"/>
          <bgColor theme="0" tint="-0.24994659260841701"/>
        </patternFill>
      </fill>
      <border>
        <vertical/>
        <horizontal/>
      </border>
    </dxf>
    <dxf>
      <font>
        <color theme="0" tint="-0.34998626667073579"/>
      </font>
      <fill>
        <patternFill patternType="lightUp">
          <fgColor auto="1"/>
          <bgColor theme="0" tint="-0.24994659260841701"/>
        </patternFill>
      </fill>
      <border>
        <vertical/>
        <horizontal/>
      </border>
    </dxf>
    <dxf>
      <font>
        <color theme="0" tint="-0.34998626667073579"/>
      </font>
      <fill>
        <patternFill patternType="lightUp">
          <fgColor auto="1"/>
          <bgColor theme="0" tint="-0.24994659260841701"/>
        </patternFill>
      </fill>
      <border>
        <vertical/>
        <horizontal/>
      </border>
    </dxf>
    <dxf>
      <font>
        <color theme="0" tint="-0.34998626667073579"/>
      </font>
      <fill>
        <patternFill patternType="lightUp">
          <fgColor auto="1"/>
          <bgColor theme="0" tint="-0.24994659260841701"/>
        </patternFill>
      </fill>
      <border>
        <vertical/>
        <horizontal/>
      </border>
    </dxf>
    <dxf>
      <fill>
        <patternFill patternType="lightTrellis">
          <bgColor theme="0" tint="-0.34998626667073579"/>
        </patternFill>
      </fill>
    </dxf>
    <dxf>
      <font>
        <color theme="0" tint="-0.34998626667073579"/>
      </font>
      <fill>
        <patternFill patternType="lightUp">
          <fgColor auto="1"/>
          <bgColor theme="0" tint="-0.24994659260841701"/>
        </patternFill>
      </fill>
      <border>
        <vertical/>
        <horizontal/>
      </border>
    </dxf>
    <dxf>
      <fill>
        <patternFill>
          <bgColor rgb="FF00B050"/>
        </patternFill>
      </fill>
    </dxf>
    <dxf>
      <font>
        <color theme="0" tint="-0.34998626667073579"/>
      </font>
      <fill>
        <patternFill patternType="lightUp">
          <fgColor auto="1"/>
          <bgColor theme="0" tint="-0.24994659260841701"/>
        </patternFill>
      </fill>
      <border>
        <vertical/>
        <horizontal/>
      </border>
    </dxf>
    <dxf>
      <font>
        <color theme="0" tint="-0.34998626667073579"/>
      </font>
      <fill>
        <patternFill patternType="lightUp">
          <bgColor theme="0" tint="-0.24994659260841701"/>
        </patternFill>
      </fill>
    </dxf>
    <dxf>
      <fill>
        <patternFill patternType="lightTrellis">
          <bgColor theme="0" tint="-0.34998626667073579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78983447728804"/>
          <c:y val="0.21436179415800191"/>
          <c:w val="0.72397957681469671"/>
          <c:h val="0.7150052911026129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'datos crudos'!$V$32:$Z$32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7-4FE5-95A2-9A690471AB0C}"/>
            </c:ext>
          </c:extLst>
        </c:ser>
        <c:ser>
          <c:idx val="1"/>
          <c:order val="1"/>
          <c:tx>
            <c:v>Error sistematico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crudos'!$U$4:$U$8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crudos'!$N$17,'datos crudos'!$N$17,'datos crudos'!$N$17,'datos crudos'!$N$17,'datos crudos'!$N$17)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07-4FE5-95A2-9A690471AB0C}"/>
            </c:ext>
          </c:extLst>
        </c:ser>
        <c:ser>
          <c:idx val="2"/>
          <c:order val="2"/>
          <c:tx>
            <c:v>Errror sistematico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crudos'!$P$17,'datos crudos'!$P$17,'datos crudos'!$P$17,'datos crudos'!$P$17,'datos crudos'!$P$17)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07-4FE5-95A2-9A690471A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000784"/>
        <c:axId val="380995344"/>
      </c:scatterChart>
      <c:valAx>
        <c:axId val="381000784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80995344"/>
        <c:crosses val="autoZero"/>
        <c:crossBetween val="midCat"/>
      </c:valAx>
      <c:valAx>
        <c:axId val="3809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100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06787225657103"/>
          <c:y val="0.20506184436867075"/>
          <c:w val="0.72903295011964753"/>
          <c:h val="0.71437814534363719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'datos crudos'!$V$33:$Z$33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5-430D-B526-8ACC886F5B33}"/>
            </c:ext>
          </c:extLst>
        </c:ser>
        <c:ser>
          <c:idx val="1"/>
          <c:order val="1"/>
          <c:tx>
            <c:v>Error sistemático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crudos'!$N$17,'datos crudos'!$N$17,'datos crudos'!$N$17,'datos crudos'!$N$17,'datos crudos'!$N$17)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35-430D-B526-8ACC886F5B33}"/>
            </c:ext>
          </c:extLst>
        </c:ser>
        <c:ser>
          <c:idx val="2"/>
          <c:order val="2"/>
          <c:tx>
            <c:v>Error sistemático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crudos'!$P$17,'datos crudos'!$P$17,'datos crudos'!$P$17,'datos crudos'!$P$17,'datos crudos'!$P$17)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35-430D-B526-8ACC886F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96432"/>
        <c:axId val="380998608"/>
      </c:scatterChart>
      <c:valAx>
        <c:axId val="38099643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80998608"/>
        <c:crosses val="autoZero"/>
        <c:crossBetween val="midCat"/>
      </c:valAx>
      <c:valAx>
        <c:axId val="3809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99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08704292444854"/>
          <c:y val="0.17576719381447103"/>
          <c:w val="0.73958931303765152"/>
          <c:h val="0.7436728423538964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'datos crudos'!$V$34:$Z$34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F-4A15-B6CB-0D373EA33D05}"/>
            </c:ext>
          </c:extLst>
        </c:ser>
        <c:ser>
          <c:idx val="1"/>
          <c:order val="1"/>
          <c:tx>
            <c:v>ERROR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crudos'!$N$17,'datos crudos'!$N$17,'datos crudos'!$N$17,'datos crudos'!$N$17,'datos crudos'!$N$17)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F-4A15-B6CB-0D373EA33D05}"/>
            </c:ext>
          </c:extLst>
        </c:ser>
        <c:ser>
          <c:idx val="2"/>
          <c:order val="2"/>
          <c:tx>
            <c:v>Error sistemático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crudos'!$P$17,'datos crudos'!$P$17,'datos crudos'!$P$17,'datos crudos'!$P$17,'datos crudos'!$P$17)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DF-4A15-B6CB-0D373EA33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96976"/>
        <c:axId val="380999696"/>
      </c:scatterChart>
      <c:valAx>
        <c:axId val="3809969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80999696"/>
        <c:crosses val="autoZero"/>
        <c:crossBetween val="midCat"/>
      </c:valAx>
      <c:valAx>
        <c:axId val="38099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9969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17385021632362"/>
          <c:y val="0.17503218685719601"/>
          <c:w val="0.70989841821419053"/>
          <c:h val="0.74474472749992249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'datos crudos'!$V$31:$Z$31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B-4E9D-9E29-31DFCAF97E49}"/>
            </c:ext>
          </c:extLst>
        </c:ser>
        <c:ser>
          <c:idx val="1"/>
          <c:order val="1"/>
          <c:tx>
            <c:v>Error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crudos'!$N$17,'datos crudos'!$N$17,'datos crudos'!$N$17,'datos crudos'!$N$17,'datos crudos'!$N$17)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4B-4E9D-9E29-31DFCAF97E49}"/>
            </c:ext>
          </c:extLst>
        </c:ser>
        <c:ser>
          <c:idx val="2"/>
          <c:order val="2"/>
          <c:tx>
            <c:v>error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crudos'!$P$17,'datos crudos'!$P$17,'datos crudos'!$P$17,'datos crudos'!$P$17,'datos crudos'!$P$17)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4B-4E9D-9E29-31DFCAF9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000240"/>
        <c:axId val="380998064"/>
      </c:scatterChart>
      <c:valAx>
        <c:axId val="381000240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80998064"/>
        <c:crosses val="autoZero"/>
        <c:crossBetween val="midCat"/>
      </c:valAx>
      <c:valAx>
        <c:axId val="3809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100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08704292444854"/>
          <c:y val="0.183090826890074"/>
          <c:w val="0.73958931303765152"/>
          <c:h val="0.73634920927829339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'datos crudos'!$V$35:$Z$35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8-440E-81D8-A067BE1A8DC5}"/>
            </c:ext>
          </c:extLst>
        </c:ser>
        <c:ser>
          <c:idx val="1"/>
          <c:order val="1"/>
          <c:tx>
            <c:v>ERROR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crudos'!$N$17,'datos crudos'!$N$17,'datos crudos'!$N$17,'datos crudos'!$N$17,'datos crudos'!$N$17)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8-440E-81D8-A067BE1A8DC5}"/>
            </c:ext>
          </c:extLst>
        </c:ser>
        <c:ser>
          <c:idx val="2"/>
          <c:order val="2"/>
          <c:tx>
            <c:v>Error sistemático</c:v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'datos crudos'!$U$31:$U$35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('datos crudos'!$P$17,'datos crudos'!$P$17,'datos crudos'!$P$17,'datos crudos'!$P$17,'datos crudos'!$P$17)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8-440E-81D8-A067BE1A8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86592"/>
        <c:axId val="380991488"/>
      </c:scatterChart>
      <c:valAx>
        <c:axId val="38098659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80991488"/>
        <c:crosses val="autoZero"/>
        <c:crossBetween val="midCat"/>
      </c:valAx>
      <c:valAx>
        <c:axId val="38099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9865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176493</xdr:colOff>
      <xdr:row>28</xdr:row>
      <xdr:rowOff>12887</xdr:rowOff>
    </xdr:from>
    <xdr:to>
      <xdr:col>22</xdr:col>
      <xdr:colOff>542925</xdr:colOff>
      <xdr:row>40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597833</xdr:colOff>
      <xdr:row>28</xdr:row>
      <xdr:rowOff>38773</xdr:rowOff>
    </xdr:from>
    <xdr:to>
      <xdr:col>27</xdr:col>
      <xdr:colOff>295275</xdr:colOff>
      <xdr:row>40</xdr:row>
      <xdr:rowOff>39334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313655</xdr:colOff>
      <xdr:row>28</xdr:row>
      <xdr:rowOff>59726</xdr:rowOff>
    </xdr:from>
    <xdr:to>
      <xdr:col>32</xdr:col>
      <xdr:colOff>371475</xdr:colOff>
      <xdr:row>40</xdr:row>
      <xdr:rowOff>60288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438150</xdr:colOff>
      <xdr:row>28</xdr:row>
      <xdr:rowOff>20730</xdr:rowOff>
    </xdr:from>
    <xdr:to>
      <xdr:col>18</xdr:col>
      <xdr:colOff>124945</xdr:colOff>
      <xdr:row>40</xdr:row>
      <xdr:rowOff>28574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468629</xdr:colOff>
      <xdr:row>28</xdr:row>
      <xdr:rowOff>26670</xdr:rowOff>
    </xdr:from>
    <xdr:to>
      <xdr:col>41</xdr:col>
      <xdr:colOff>714374</xdr:colOff>
      <xdr:row>40</xdr:row>
      <xdr:rowOff>102870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39157</xdr:colOff>
      <xdr:row>0</xdr:row>
      <xdr:rowOff>136526</xdr:rowOff>
    </xdr:from>
    <xdr:to>
      <xdr:col>2</xdr:col>
      <xdr:colOff>397932</xdr:colOff>
      <xdr:row>4</xdr:row>
      <xdr:rowOff>53371</xdr:rowOff>
    </xdr:to>
    <xdr:pic>
      <xdr:nvPicPr>
        <xdr:cNvPr id="5" name="Imagen 4" descr="isotip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07" y="136526"/>
          <a:ext cx="530225" cy="40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71"/>
  <sheetViews>
    <sheetView tabSelected="1" topLeftCell="L1" zoomScaleNormal="100" workbookViewId="0">
      <selection activeCell="W19" sqref="W19"/>
    </sheetView>
  </sheetViews>
  <sheetFormatPr baseColWidth="10" defaultColWidth="11.453125" defaultRowHeight="12.5" x14ac:dyDescent="0.25"/>
  <cols>
    <col min="1" max="1" width="20.54296875" style="33" hidden="1" customWidth="1"/>
    <col min="2" max="2" width="22.54296875" style="33" hidden="1" customWidth="1"/>
    <col min="3" max="3" width="18" style="33" hidden="1" customWidth="1"/>
    <col min="4" max="4" width="0.1796875" style="33" hidden="1" customWidth="1"/>
    <col min="5" max="5" width="17.54296875" style="33" hidden="1" customWidth="1"/>
    <col min="6" max="6" width="18.1796875" style="33" hidden="1" customWidth="1"/>
    <col min="7" max="7" width="0.1796875" style="33" hidden="1" customWidth="1"/>
    <col min="8" max="8" width="17.54296875" style="33" hidden="1" customWidth="1"/>
    <col min="9" max="9" width="19.26953125" style="33" hidden="1" customWidth="1"/>
    <col min="10" max="10" width="18.81640625" style="33" hidden="1" customWidth="1"/>
    <col min="11" max="11" width="25.7265625" style="33" hidden="1" customWidth="1"/>
    <col min="12" max="12" width="3.81640625" style="33" customWidth="1"/>
    <col min="13" max="15" width="9.54296875" style="1" customWidth="1"/>
    <col min="16" max="16" width="5.1796875" style="1" customWidth="1"/>
    <col min="17" max="17" width="3.54296875" style="1" customWidth="1"/>
    <col min="18" max="18" width="10.54296875" style="1" customWidth="1"/>
    <col min="19" max="19" width="9.54296875" style="1" customWidth="1"/>
    <col min="20" max="20" width="5.54296875" style="1" customWidth="1"/>
    <col min="21" max="21" width="4" style="1" customWidth="1"/>
    <col min="22" max="24" width="9.54296875" style="1" customWidth="1"/>
    <col min="25" max="25" width="2.54296875" style="1" customWidth="1"/>
    <col min="26" max="26" width="4" style="1" customWidth="1"/>
    <col min="27" max="29" width="9.54296875" style="1" customWidth="1"/>
    <col min="30" max="30" width="2.54296875" style="1" customWidth="1"/>
    <col min="31" max="31" width="4" style="1" customWidth="1"/>
    <col min="32" max="34" width="9.54296875" style="33" customWidth="1"/>
    <col min="35" max="35" width="11.453125" style="33" customWidth="1"/>
    <col min="36" max="41" width="11.453125" style="33" hidden="1" customWidth="1"/>
    <col min="42" max="44" width="11.453125" style="33" customWidth="1"/>
    <col min="45" max="16384" width="11.453125" style="33"/>
  </cols>
  <sheetData>
    <row r="1" spans="1:41" ht="13.5" customHeight="1" thickBot="1" x14ac:dyDescent="0.3">
      <c r="A1" s="209" t="s">
        <v>4</v>
      </c>
      <c r="B1" s="209"/>
      <c r="C1" s="209"/>
      <c r="D1" s="209"/>
      <c r="F1" s="209" t="s">
        <v>50</v>
      </c>
      <c r="G1" s="209"/>
      <c r="H1" s="209"/>
      <c r="I1" s="209"/>
      <c r="L1" s="194" t="s">
        <v>8</v>
      </c>
      <c r="M1" s="210"/>
      <c r="N1" s="204"/>
      <c r="O1" s="205"/>
      <c r="P1" s="38"/>
      <c r="Q1" s="34"/>
      <c r="R1" s="6" t="s">
        <v>10</v>
      </c>
      <c r="S1" s="39"/>
      <c r="T1" s="6"/>
      <c r="U1" s="63"/>
      <c r="V1" s="79"/>
      <c r="W1" s="34"/>
      <c r="X1" s="34"/>
      <c r="Y1" s="34"/>
      <c r="Z1" s="34"/>
      <c r="AA1" s="34"/>
      <c r="AB1" s="34"/>
      <c r="AC1" s="40"/>
      <c r="AD1" s="34"/>
      <c r="AE1" s="34"/>
    </row>
    <row r="2" spans="1:41" ht="11" thickBot="1" x14ac:dyDescent="0.3">
      <c r="A2" s="58" t="s">
        <v>12</v>
      </c>
      <c r="B2" s="58"/>
      <c r="C2" s="58"/>
      <c r="D2" s="58"/>
      <c r="F2" s="208" t="s">
        <v>15</v>
      </c>
      <c r="G2" s="208"/>
      <c r="H2" s="208"/>
      <c r="I2" s="208"/>
      <c r="L2" s="91"/>
      <c r="M2" s="92"/>
      <c r="N2" s="41" t="s">
        <v>16</v>
      </c>
      <c r="O2" s="41" t="s">
        <v>17</v>
      </c>
      <c r="P2" s="41"/>
      <c r="Q2" s="34"/>
      <c r="R2" s="209"/>
      <c r="S2" s="209"/>
      <c r="T2" s="40"/>
      <c r="U2" s="34"/>
      <c r="V2" s="90"/>
      <c r="W2" s="100">
        <f>N27</f>
        <v>0</v>
      </c>
      <c r="X2" s="92" t="str">
        <f>$O$11</f>
        <v>°C</v>
      </c>
      <c r="Y2" s="90"/>
      <c r="Z2" s="90"/>
      <c r="AA2" s="90"/>
      <c r="AB2" s="100">
        <f>O27</f>
        <v>0</v>
      </c>
      <c r="AC2" s="92" t="str">
        <f>$O$11</f>
        <v>°C</v>
      </c>
      <c r="AD2" s="90"/>
      <c r="AE2" s="90"/>
      <c r="AF2" s="61"/>
      <c r="AG2" s="100">
        <f>P27</f>
        <v>0</v>
      </c>
      <c r="AH2" s="92" t="str">
        <f>$O$11</f>
        <v>°C</v>
      </c>
    </row>
    <row r="3" spans="1:41" ht="12.75" customHeight="1" x14ac:dyDescent="0.25">
      <c r="A3" s="58" t="s">
        <v>166</v>
      </c>
      <c r="B3" s="58"/>
      <c r="C3" s="58"/>
      <c r="D3" s="58"/>
      <c r="F3" s="208" t="s">
        <v>15</v>
      </c>
      <c r="G3" s="208"/>
      <c r="H3" s="208"/>
      <c r="I3" s="208"/>
      <c r="L3" s="194" t="s">
        <v>13</v>
      </c>
      <c r="M3" s="195"/>
      <c r="N3" s="42">
        <v>26</v>
      </c>
      <c r="O3" s="43"/>
      <c r="P3" s="44"/>
      <c r="Q3" s="34"/>
      <c r="R3" s="215" t="s">
        <v>169</v>
      </c>
      <c r="S3" s="216"/>
      <c r="T3" s="34"/>
      <c r="U3" s="88"/>
      <c r="V3" s="62" t="s">
        <v>18</v>
      </c>
      <c r="W3" s="95" t="s">
        <v>89</v>
      </c>
      <c r="X3" s="45" t="s">
        <v>90</v>
      </c>
      <c r="Y3" s="80"/>
      <c r="Z3" s="45"/>
      <c r="AA3" s="62" t="s">
        <v>18</v>
      </c>
      <c r="AB3" s="95" t="s">
        <v>89</v>
      </c>
      <c r="AC3" s="45" t="s">
        <v>90</v>
      </c>
      <c r="AD3" s="63"/>
      <c r="AE3" s="89"/>
      <c r="AF3" s="62" t="s">
        <v>18</v>
      </c>
      <c r="AG3" s="95" t="s">
        <v>89</v>
      </c>
      <c r="AH3" s="45" t="s">
        <v>90</v>
      </c>
      <c r="AJ3" s="183" t="s">
        <v>54</v>
      </c>
      <c r="AK3" s="183" t="s">
        <v>55</v>
      </c>
      <c r="AL3" s="183" t="s">
        <v>56</v>
      </c>
      <c r="AM3" s="183" t="s">
        <v>57</v>
      </c>
      <c r="AN3" s="183" t="s">
        <v>58</v>
      </c>
      <c r="AO3" s="183" t="s">
        <v>11</v>
      </c>
    </row>
    <row r="4" spans="1:41" ht="12.75" customHeight="1" x14ac:dyDescent="0.25">
      <c r="A4" s="58" t="s">
        <v>2007</v>
      </c>
      <c r="B4" s="58"/>
      <c r="C4" s="58"/>
      <c r="D4" s="58"/>
      <c r="F4" s="208" t="s">
        <v>15</v>
      </c>
      <c r="G4" s="208"/>
      <c r="H4" s="208"/>
      <c r="I4" s="208"/>
      <c r="L4" s="194" t="s">
        <v>9</v>
      </c>
      <c r="M4" s="195"/>
      <c r="N4" s="220"/>
      <c r="O4" s="220"/>
      <c r="P4" s="34"/>
      <c r="Q4" s="34"/>
      <c r="R4" s="218" t="s">
        <v>80</v>
      </c>
      <c r="S4" s="219"/>
      <c r="T4" s="40"/>
      <c r="U4" s="85">
        <v>1</v>
      </c>
      <c r="V4" s="123"/>
      <c r="W4" s="123"/>
      <c r="X4" s="49" t="str">
        <f>IF(W4="","",W4-HLOOKUP($S$1,Patrones!$B$57:$AZ$82,3,FALSE))</f>
        <v/>
      </c>
      <c r="Y4" s="80"/>
      <c r="Z4" s="86">
        <v>1</v>
      </c>
      <c r="AA4" s="123"/>
      <c r="AB4" s="123"/>
      <c r="AC4" s="49" t="str">
        <f>IF(AB4="","",AB4-HLOOKUP($S$1,Patrones!$B$57:$AZ$82,6,FALSE))</f>
        <v/>
      </c>
      <c r="AD4" s="90"/>
      <c r="AE4" s="89">
        <v>1</v>
      </c>
      <c r="AF4" s="123"/>
      <c r="AG4" s="123"/>
      <c r="AH4" s="99" t="str">
        <f>IF(AG4="","",AG4-HLOOKUP($S$1,Patrones!$B$57:$AZ$82,9,FALSE))</f>
        <v/>
      </c>
      <c r="AJ4" s="184" t="s">
        <v>1679</v>
      </c>
      <c r="AK4" s="184" t="s">
        <v>86</v>
      </c>
      <c r="AL4" s="184" t="s">
        <v>1431</v>
      </c>
      <c r="AM4" s="184" t="s">
        <v>59</v>
      </c>
      <c r="AN4" s="184" t="s">
        <v>1537</v>
      </c>
      <c r="AO4" s="184">
        <v>12</v>
      </c>
    </row>
    <row r="5" spans="1:41" ht="12.75" customHeight="1" x14ac:dyDescent="0.25">
      <c r="A5" s="58" t="s">
        <v>44</v>
      </c>
      <c r="B5" s="58"/>
      <c r="C5" s="58"/>
      <c r="D5" s="58"/>
      <c r="F5" s="208" t="s">
        <v>14</v>
      </c>
      <c r="G5" s="208"/>
      <c r="H5" s="208"/>
      <c r="I5" s="208"/>
      <c r="L5" s="194" t="s">
        <v>0</v>
      </c>
      <c r="M5" s="195"/>
      <c r="N5" s="220"/>
      <c r="O5" s="220"/>
      <c r="P5" s="40"/>
      <c r="Q5" s="34"/>
      <c r="R5" s="218" t="s">
        <v>1555</v>
      </c>
      <c r="S5" s="219"/>
      <c r="T5" s="34"/>
      <c r="U5" s="78">
        <v>2</v>
      </c>
      <c r="V5" s="123"/>
      <c r="W5" s="123"/>
      <c r="X5" s="49" t="str">
        <f>IF(W5="","",W5-HLOOKUP($S$1,Patrones!$B$57:$AZ$82,3,FALSE))</f>
        <v/>
      </c>
      <c r="Y5" s="83"/>
      <c r="Z5" s="87">
        <v>2</v>
      </c>
      <c r="AA5" s="123"/>
      <c r="AB5" s="123"/>
      <c r="AC5" s="49" t="str">
        <f>IF(AB5="","",AB5-HLOOKUP($S$1,Patrones!$B$57:$AZ$82,6,FALSE))</f>
        <v/>
      </c>
      <c r="AD5" s="90"/>
      <c r="AE5" s="89">
        <v>2</v>
      </c>
      <c r="AF5" s="123"/>
      <c r="AG5" s="123"/>
      <c r="AH5" s="99" t="str">
        <f>IF(AG5="","",AG5-HLOOKUP($S$1,Patrones!$B$57:$AZ$82,9,FALSE))</f>
        <v/>
      </c>
      <c r="AJ5" s="184" t="s">
        <v>177</v>
      </c>
      <c r="AK5" s="184" t="s">
        <v>145</v>
      </c>
      <c r="AL5" s="184" t="s">
        <v>1430</v>
      </c>
      <c r="AM5" s="184" t="s">
        <v>1435</v>
      </c>
      <c r="AN5" s="184" t="s">
        <v>1535</v>
      </c>
      <c r="AO5" s="184">
        <v>12</v>
      </c>
    </row>
    <row r="6" spans="1:41" ht="12.75" customHeight="1" x14ac:dyDescent="0.25">
      <c r="A6" s="58" t="s">
        <v>2078</v>
      </c>
      <c r="B6" s="58"/>
      <c r="C6" s="58"/>
      <c r="F6" s="208" t="s">
        <v>1552</v>
      </c>
      <c r="G6" s="208"/>
      <c r="H6" s="208"/>
      <c r="I6" s="208"/>
      <c r="L6" s="194" t="s">
        <v>1</v>
      </c>
      <c r="M6" s="195"/>
      <c r="N6" s="206" t="str">
        <f>IF(N5="","",VLOOKUP($N$5,$AJ$3:$AO$2190,2,FALSE))</f>
        <v/>
      </c>
      <c r="O6" s="207"/>
      <c r="P6" s="34"/>
      <c r="Q6" s="34"/>
      <c r="R6" s="218" t="s">
        <v>1956</v>
      </c>
      <c r="S6" s="219"/>
      <c r="T6" s="6"/>
      <c r="U6" s="78">
        <v>3</v>
      </c>
      <c r="V6" s="123"/>
      <c r="W6" s="123"/>
      <c r="X6" s="49" t="str">
        <f>IF(W6="","",W6-HLOOKUP($S$1,Patrones!$B$57:$AZ$82,3,FALSE))</f>
        <v/>
      </c>
      <c r="Y6" s="83"/>
      <c r="Z6" s="87">
        <v>3</v>
      </c>
      <c r="AA6" s="123"/>
      <c r="AB6" s="123"/>
      <c r="AC6" s="49" t="str">
        <f>IF(AB6="","",AB6-HLOOKUP($S$1,Patrones!$B$57:$AZ$82,6,FALSE))</f>
        <v/>
      </c>
      <c r="AD6" s="90"/>
      <c r="AE6" s="89">
        <v>3</v>
      </c>
      <c r="AF6" s="123"/>
      <c r="AG6" s="123"/>
      <c r="AH6" s="99" t="str">
        <f>IF(AG6="","",AG6-HLOOKUP($S$1,Patrones!$B$57:$AZ$82,9,FALSE))</f>
        <v/>
      </c>
      <c r="AJ6" s="184" t="s">
        <v>178</v>
      </c>
      <c r="AK6" s="184" t="s">
        <v>145</v>
      </c>
      <c r="AL6" s="184" t="s">
        <v>1430</v>
      </c>
      <c r="AM6" s="184" t="s">
        <v>1435</v>
      </c>
      <c r="AN6" s="184" t="s">
        <v>1535</v>
      </c>
      <c r="AO6" s="184">
        <v>12</v>
      </c>
    </row>
    <row r="7" spans="1:41" ht="12.75" customHeight="1" x14ac:dyDescent="0.25">
      <c r="L7" s="194" t="s">
        <v>32</v>
      </c>
      <c r="M7" s="195"/>
      <c r="N7" s="206" t="str">
        <f>IF(N6="","",VLOOKUP($N$5,$AJ$3:$AO$2190,3,FALSE))</f>
        <v/>
      </c>
      <c r="O7" s="207"/>
      <c r="P7" s="40"/>
      <c r="Q7" s="34"/>
      <c r="R7" s="48" t="s">
        <v>1950</v>
      </c>
      <c r="S7" s="124"/>
      <c r="T7" s="47"/>
      <c r="U7" s="78">
        <v>4</v>
      </c>
      <c r="V7" s="123"/>
      <c r="W7" s="123"/>
      <c r="X7" s="49" t="str">
        <f>IF(W7="","",W7-HLOOKUP($S$1,Patrones!$B$57:$AZ$82,3,FALSE))</f>
        <v/>
      </c>
      <c r="Y7" s="83"/>
      <c r="Z7" s="87">
        <v>4</v>
      </c>
      <c r="AA7" s="123"/>
      <c r="AB7" s="123"/>
      <c r="AC7" s="49" t="str">
        <f>IF(AB7="","",AB7-HLOOKUP($S$1,Patrones!$B$57:$AZ$82,6,FALSE))</f>
        <v/>
      </c>
      <c r="AD7" s="90"/>
      <c r="AE7" s="89">
        <v>4</v>
      </c>
      <c r="AF7" s="123"/>
      <c r="AG7" s="123"/>
      <c r="AH7" s="99" t="str">
        <f>IF(AG7="","",AG7-HLOOKUP($S$1,Patrones!$B$57:$AZ$82,9,FALSE))</f>
        <v/>
      </c>
      <c r="AJ7" s="184" t="s">
        <v>179</v>
      </c>
      <c r="AK7" s="184" t="s">
        <v>145</v>
      </c>
      <c r="AL7" s="184" t="s">
        <v>1430</v>
      </c>
      <c r="AM7" s="184" t="s">
        <v>1435</v>
      </c>
      <c r="AN7" s="184" t="s">
        <v>1535</v>
      </c>
      <c r="AO7" s="184">
        <v>12</v>
      </c>
    </row>
    <row r="8" spans="1:41" ht="12.75" customHeight="1" x14ac:dyDescent="0.25">
      <c r="A8" s="209" t="s">
        <v>66</v>
      </c>
      <c r="B8" s="209"/>
      <c r="C8" s="213"/>
      <c r="D8" s="214"/>
      <c r="F8" s="101"/>
      <c r="L8" s="194" t="s">
        <v>38</v>
      </c>
      <c r="M8" s="195"/>
      <c r="N8" s="206" t="str">
        <f>IF(N7="","",VLOOKUP($N$5,$AJ$3:$AO$2190,4,FALSE))</f>
        <v/>
      </c>
      <c r="O8" s="207"/>
      <c r="P8" s="40"/>
      <c r="Q8" s="34"/>
      <c r="R8" s="48" t="s">
        <v>163</v>
      </c>
      <c r="S8" s="124"/>
      <c r="T8" s="34"/>
      <c r="U8" s="78">
        <v>5</v>
      </c>
      <c r="V8" s="123"/>
      <c r="W8" s="123"/>
      <c r="X8" s="49" t="str">
        <f>IF(W8="","",W8-HLOOKUP($S$1,Patrones!$B$57:$AZ$82,3,FALSE))</f>
        <v/>
      </c>
      <c r="Y8" s="83"/>
      <c r="Z8" s="87">
        <v>5</v>
      </c>
      <c r="AA8" s="123"/>
      <c r="AB8" s="123"/>
      <c r="AC8" s="49" t="str">
        <f>IF(AB8="","",AB8-HLOOKUP($S$1,Patrones!$B$57:$AZ$82,6,FALSE))</f>
        <v/>
      </c>
      <c r="AD8" s="90"/>
      <c r="AE8" s="89">
        <v>5</v>
      </c>
      <c r="AF8" s="123"/>
      <c r="AG8" s="123"/>
      <c r="AH8" s="99" t="str">
        <f>IF(AG8="","",AG8-HLOOKUP($S$1,Patrones!$B$57:$AZ$82,9,FALSE))</f>
        <v/>
      </c>
      <c r="AJ8" s="184" t="s">
        <v>180</v>
      </c>
      <c r="AK8" s="184" t="s">
        <v>145</v>
      </c>
      <c r="AL8" s="184" t="s">
        <v>1430</v>
      </c>
      <c r="AM8" s="184" t="s">
        <v>1435</v>
      </c>
      <c r="AN8" s="184" t="s">
        <v>1535</v>
      </c>
      <c r="AO8" s="184">
        <v>12</v>
      </c>
    </row>
    <row r="9" spans="1:41" ht="12.75" customHeight="1" thickBot="1" x14ac:dyDescent="0.3">
      <c r="A9" s="59" t="s">
        <v>65</v>
      </c>
      <c r="B9" s="60"/>
      <c r="C9" s="211"/>
      <c r="D9" s="212"/>
      <c r="F9" s="91" t="s">
        <v>118</v>
      </c>
      <c r="G9" s="33">
        <f>N15*N16*2+4</f>
        <v>4</v>
      </c>
      <c r="L9" s="194" t="s">
        <v>69</v>
      </c>
      <c r="M9" s="195"/>
      <c r="N9" s="206" t="str">
        <f>IF(N8="","",VLOOKUP($N$5,$AJ$3:$AO$2190,5,FALSE))</f>
        <v/>
      </c>
      <c r="O9" s="207"/>
      <c r="P9" s="40"/>
      <c r="Q9" s="34"/>
      <c r="R9" s="48" t="s">
        <v>1544</v>
      </c>
      <c r="S9" s="50"/>
      <c r="T9" s="34"/>
      <c r="U9" s="81"/>
      <c r="V9" s="129" t="e">
        <f>AVERAGE(V4:V8)</f>
        <v>#DIV/0!</v>
      </c>
      <c r="W9" s="82"/>
      <c r="X9" s="82"/>
      <c r="Y9" s="83"/>
      <c r="Z9" s="84"/>
      <c r="AA9" s="82"/>
      <c r="AB9" s="79"/>
      <c r="AC9" s="83"/>
      <c r="AD9" s="90"/>
      <c r="AE9" s="90"/>
      <c r="AF9" s="61"/>
      <c r="AG9" s="97"/>
      <c r="AH9" s="97"/>
      <c r="AJ9" s="184" t="s">
        <v>181</v>
      </c>
      <c r="AK9" s="184" t="s">
        <v>136</v>
      </c>
      <c r="AL9" s="184" t="s">
        <v>1430</v>
      </c>
      <c r="AM9" s="184" t="s">
        <v>1436</v>
      </c>
      <c r="AN9" s="184" t="s">
        <v>1535</v>
      </c>
      <c r="AO9" s="184">
        <v>6</v>
      </c>
    </row>
    <row r="10" spans="1:41" ht="12.75" customHeight="1" thickBot="1" x14ac:dyDescent="0.3">
      <c r="A10" s="59" t="s">
        <v>76</v>
      </c>
      <c r="B10" s="60"/>
      <c r="C10" s="211"/>
      <c r="D10" s="212"/>
      <c r="F10" s="91" t="s">
        <v>119</v>
      </c>
      <c r="G10" s="33">
        <f>COUNT(V4:W8,AA4:AB8,AF4:AG8,V12:W16,AA12:AB16,R23:S24)</f>
        <v>0</v>
      </c>
      <c r="L10" s="194" t="s">
        <v>11</v>
      </c>
      <c r="M10" s="195"/>
      <c r="N10" s="182" t="str">
        <f>IF(N9="","",VLOOKUP($N$5,$AJ$3:$AO$2190,6,FALSE))</f>
        <v/>
      </c>
      <c r="O10" s="185"/>
      <c r="P10" s="40"/>
      <c r="Q10" s="34"/>
      <c r="R10" s="48" t="s">
        <v>164</v>
      </c>
      <c r="S10" s="50"/>
      <c r="T10" s="34"/>
      <c r="U10" s="81"/>
      <c r="V10" s="75"/>
      <c r="W10" s="100">
        <f>R27</f>
        <v>0</v>
      </c>
      <c r="X10" s="92" t="str">
        <f>$O$11</f>
        <v>°C</v>
      </c>
      <c r="Y10" s="83"/>
      <c r="Z10" s="79"/>
      <c r="AA10" s="81"/>
      <c r="AB10" s="100">
        <f>S27</f>
        <v>0</v>
      </c>
      <c r="AC10" s="92" t="str">
        <f>$O$11</f>
        <v>°C</v>
      </c>
      <c r="AD10" s="90"/>
      <c r="AE10" s="90"/>
      <c r="AF10" s="61"/>
      <c r="AG10" s="97"/>
      <c r="AH10" s="97"/>
      <c r="AJ10" s="184" t="s">
        <v>182</v>
      </c>
      <c r="AK10" s="184" t="s">
        <v>132</v>
      </c>
      <c r="AL10" s="184" t="s">
        <v>1430</v>
      </c>
      <c r="AM10" s="184" t="s">
        <v>1437</v>
      </c>
      <c r="AN10" s="184" t="s">
        <v>1535</v>
      </c>
      <c r="AO10" s="184">
        <v>12</v>
      </c>
    </row>
    <row r="11" spans="1:41" ht="12.75" customHeight="1" x14ac:dyDescent="0.25">
      <c r="A11" s="59" t="s">
        <v>77</v>
      </c>
      <c r="B11" s="60"/>
      <c r="C11" s="211"/>
      <c r="D11" s="212"/>
      <c r="F11" s="91"/>
      <c r="L11" s="194" t="s">
        <v>61</v>
      </c>
      <c r="M11" s="195"/>
      <c r="N11" s="46"/>
      <c r="O11" s="46" t="s">
        <v>65</v>
      </c>
      <c r="P11" s="40"/>
      <c r="Q11" s="55">
        <f>IF(Q12=-1,0,Q12)</f>
        <v>-2</v>
      </c>
      <c r="R11" s="76" t="s">
        <v>1545</v>
      </c>
      <c r="S11" s="50"/>
      <c r="T11" s="30"/>
      <c r="U11" s="88"/>
      <c r="V11" s="62" t="s">
        <v>18</v>
      </c>
      <c r="W11" s="95" t="s">
        <v>89</v>
      </c>
      <c r="X11" s="45" t="s">
        <v>90</v>
      </c>
      <c r="Y11" s="80"/>
      <c r="Z11" s="45"/>
      <c r="AA11" s="62" t="s">
        <v>18</v>
      </c>
      <c r="AB11" s="95" t="s">
        <v>89</v>
      </c>
      <c r="AC11" s="45" t="s">
        <v>90</v>
      </c>
      <c r="AD11" s="90"/>
      <c r="AE11" s="90"/>
      <c r="AJ11" s="184" t="s">
        <v>183</v>
      </c>
      <c r="AK11" s="184" t="s">
        <v>132</v>
      </c>
      <c r="AL11" s="184" t="s">
        <v>1430</v>
      </c>
      <c r="AM11" s="184" t="s">
        <v>1435</v>
      </c>
      <c r="AN11" s="184" t="s">
        <v>1535</v>
      </c>
      <c r="AO11" s="184">
        <v>12</v>
      </c>
    </row>
    <row r="12" spans="1:41" ht="12.75" customHeight="1" x14ac:dyDescent="0.25">
      <c r="A12" s="70"/>
      <c r="B12" s="71"/>
      <c r="C12" s="212"/>
      <c r="D12" s="212"/>
      <c r="F12" s="91"/>
      <c r="L12" s="194" t="s">
        <v>62</v>
      </c>
      <c r="M12" s="195"/>
      <c r="N12" s="46"/>
      <c r="O12" s="49" t="str">
        <f>O11</f>
        <v>°C</v>
      </c>
      <c r="P12" s="34"/>
      <c r="Q12" s="128">
        <f>LEN(N13)-(LEN(INT(N13))+1)</f>
        <v>-2</v>
      </c>
      <c r="R12" s="76" t="s">
        <v>106</v>
      </c>
      <c r="S12" s="50"/>
      <c r="T12" s="30"/>
      <c r="U12" s="85">
        <v>1</v>
      </c>
      <c r="V12" s="123"/>
      <c r="W12" s="123"/>
      <c r="X12" s="49" t="str">
        <f>IF(W12="","",W12-HLOOKUP($S$1,Patrones!$B$57:$AZ$82,12,FALSE))</f>
        <v/>
      </c>
      <c r="Y12" s="80"/>
      <c r="Z12" s="86">
        <v>1</v>
      </c>
      <c r="AA12" s="123"/>
      <c r="AB12" s="123"/>
      <c r="AC12" s="49" t="str">
        <f>IF(AB12="","",AB12-HLOOKUP($S$1,Patrones!$B$57:$AZ$82,15,FALSE))</f>
        <v/>
      </c>
      <c r="AD12" s="90"/>
      <c r="AE12" s="90"/>
      <c r="AJ12" s="184" t="s">
        <v>184</v>
      </c>
      <c r="AK12" s="184" t="s">
        <v>132</v>
      </c>
      <c r="AL12" s="184" t="s">
        <v>1430</v>
      </c>
      <c r="AM12" s="184" t="s">
        <v>1437</v>
      </c>
      <c r="AN12" s="184" t="s">
        <v>1535</v>
      </c>
      <c r="AO12" s="184">
        <v>12</v>
      </c>
    </row>
    <row r="13" spans="1:41" ht="12.75" customHeight="1" x14ac:dyDescent="0.25">
      <c r="A13" s="33" t="s">
        <v>78</v>
      </c>
      <c r="C13" s="212"/>
      <c r="D13" s="212"/>
      <c r="F13" s="91"/>
      <c r="L13" s="194" t="s">
        <v>63</v>
      </c>
      <c r="M13" s="195"/>
      <c r="N13" s="130"/>
      <c r="O13" s="49" t="str">
        <f>O11</f>
        <v>°C</v>
      </c>
      <c r="P13" s="55"/>
      <c r="Q13" s="34"/>
      <c r="R13" s="76" t="s">
        <v>2008</v>
      </c>
      <c r="S13" s="50"/>
      <c r="T13" s="30"/>
      <c r="U13" s="78">
        <v>2</v>
      </c>
      <c r="V13" s="123"/>
      <c r="W13" s="123"/>
      <c r="X13" s="49" t="str">
        <f>IF(W13="","",W13-HLOOKUP($S$1,Patrones!$B$57:$AZ$82,12,FALSE))</f>
        <v/>
      </c>
      <c r="Y13" s="83"/>
      <c r="Z13" s="87">
        <v>2</v>
      </c>
      <c r="AA13" s="123"/>
      <c r="AB13" s="123"/>
      <c r="AC13" s="49" t="str">
        <f>IF(AB13="","",AB13-HLOOKUP($S$1,Patrones!$B$57:$AZ$82,15,FALSE))</f>
        <v/>
      </c>
      <c r="AD13" s="90"/>
      <c r="AE13" s="90"/>
      <c r="AJ13" s="184" t="s">
        <v>185</v>
      </c>
      <c r="AK13" s="184" t="s">
        <v>1388</v>
      </c>
      <c r="AL13" s="184" t="s">
        <v>1430</v>
      </c>
      <c r="AM13" s="184" t="s">
        <v>1436</v>
      </c>
      <c r="AN13" s="184" t="s">
        <v>1535</v>
      </c>
      <c r="AO13" s="184">
        <v>12</v>
      </c>
    </row>
    <row r="14" spans="1:41" ht="12.75" customHeight="1" x14ac:dyDescent="0.25">
      <c r="A14" s="33">
        <v>1</v>
      </c>
      <c r="C14" s="212"/>
      <c r="D14" s="212"/>
      <c r="F14" s="91"/>
      <c r="L14" s="194" t="s">
        <v>52</v>
      </c>
      <c r="M14" s="195"/>
      <c r="N14" s="51"/>
      <c r="O14" s="52"/>
      <c r="P14" s="34"/>
      <c r="Q14" s="55" t="e">
        <f>LEN(MID(W4,SEARCH(".",W4)+1,100))</f>
        <v>#VALUE!</v>
      </c>
      <c r="R14" s="228" t="s">
        <v>1831</v>
      </c>
      <c r="S14" s="229"/>
      <c r="T14" s="30"/>
      <c r="U14" s="78">
        <v>3</v>
      </c>
      <c r="V14" s="123"/>
      <c r="W14" s="123"/>
      <c r="X14" s="49" t="str">
        <f>IF(W14="","",W14-HLOOKUP($S$1,Patrones!$B$57:$AZ$82,12,FALSE))</f>
        <v/>
      </c>
      <c r="Y14" s="83"/>
      <c r="Z14" s="87">
        <v>3</v>
      </c>
      <c r="AA14" s="123"/>
      <c r="AB14" s="123"/>
      <c r="AC14" s="49" t="str">
        <f>IF(AB14="","",AB14-HLOOKUP($S$1,Patrones!$B$57:$AZ$82,15,FALSE))</f>
        <v/>
      </c>
      <c r="AD14" s="90"/>
      <c r="AE14" s="90"/>
      <c r="AJ14" s="184" t="s">
        <v>186</v>
      </c>
      <c r="AK14" s="184" t="s">
        <v>1388</v>
      </c>
      <c r="AL14" s="184" t="s">
        <v>1430</v>
      </c>
      <c r="AM14" s="184" t="s">
        <v>1436</v>
      </c>
      <c r="AN14" s="184" t="s">
        <v>1535</v>
      </c>
      <c r="AO14" s="184">
        <v>12</v>
      </c>
    </row>
    <row r="15" spans="1:41" ht="12.75" customHeight="1" x14ac:dyDescent="0.25">
      <c r="A15" s="33">
        <v>2</v>
      </c>
      <c r="C15" s="212"/>
      <c r="D15" s="212"/>
      <c r="F15" s="91"/>
      <c r="L15" s="194" t="s">
        <v>74</v>
      </c>
      <c r="M15" s="195"/>
      <c r="N15" s="46"/>
      <c r="O15" s="52"/>
      <c r="P15" s="55"/>
      <c r="Q15" s="34"/>
      <c r="R15" s="228" t="s">
        <v>1957</v>
      </c>
      <c r="S15" s="229"/>
      <c r="T15" s="30"/>
      <c r="U15" s="78">
        <v>4</v>
      </c>
      <c r="V15" s="123"/>
      <c r="W15" s="123"/>
      <c r="X15" s="49" t="str">
        <f>IF(W15="","",W15-HLOOKUP($S$1,Patrones!$B$57:$AZ$82,12,FALSE))</f>
        <v/>
      </c>
      <c r="Y15" s="83"/>
      <c r="Z15" s="87">
        <v>4</v>
      </c>
      <c r="AA15" s="123"/>
      <c r="AB15" s="123"/>
      <c r="AC15" s="49" t="str">
        <f>IF(AB15="","",AB15-HLOOKUP($S$1,Patrones!$B$57:$AZ$82,15,FALSE))</f>
        <v/>
      </c>
      <c r="AD15" s="90"/>
      <c r="AE15" s="90"/>
      <c r="AF15" s="61"/>
      <c r="AG15" s="97"/>
      <c r="AJ15" s="184" t="s">
        <v>187</v>
      </c>
      <c r="AK15" s="184" t="s">
        <v>1388</v>
      </c>
      <c r="AL15" s="184" t="s">
        <v>1430</v>
      </c>
      <c r="AM15" s="184" t="s">
        <v>1436</v>
      </c>
      <c r="AN15" s="184" t="s">
        <v>1535</v>
      </c>
      <c r="AO15" s="184">
        <v>12</v>
      </c>
    </row>
    <row r="16" spans="1:41" ht="12.75" customHeight="1" x14ac:dyDescent="0.25">
      <c r="A16" s="33">
        <v>3</v>
      </c>
      <c r="C16" s="212"/>
      <c r="D16" s="212"/>
      <c r="F16" s="91"/>
      <c r="L16" s="194" t="s">
        <v>75</v>
      </c>
      <c r="M16" s="195"/>
      <c r="N16" s="46"/>
      <c r="O16" s="52"/>
      <c r="P16" s="55"/>
      <c r="Q16" s="34"/>
      <c r="R16" s="228" t="s">
        <v>1958</v>
      </c>
      <c r="S16" s="229"/>
      <c r="T16" s="34"/>
      <c r="U16" s="78">
        <v>5</v>
      </c>
      <c r="V16" s="123"/>
      <c r="W16" s="123"/>
      <c r="X16" s="49" t="str">
        <f>IF(W16="","",W16-HLOOKUP($S$1,Patrones!$B$57:$AZ$82,12,FALSE))</f>
        <v/>
      </c>
      <c r="Y16" s="83"/>
      <c r="Z16" s="87">
        <v>5</v>
      </c>
      <c r="AA16" s="123"/>
      <c r="AB16" s="123"/>
      <c r="AC16" s="49" t="str">
        <f>IF(AB16="","",AB16-HLOOKUP($S$1,Patrones!$B$57:$AZ$82,15,FALSE))</f>
        <v/>
      </c>
      <c r="AD16" s="90"/>
      <c r="AE16" s="90"/>
      <c r="AF16" s="61"/>
      <c r="AG16" s="97"/>
      <c r="AJ16" s="184" t="s">
        <v>188</v>
      </c>
      <c r="AK16" s="184" t="s">
        <v>135</v>
      </c>
      <c r="AL16" s="184" t="s">
        <v>1430</v>
      </c>
      <c r="AM16" s="184" t="s">
        <v>1438</v>
      </c>
      <c r="AN16" s="184" t="s">
        <v>1535</v>
      </c>
      <c r="AO16" s="184">
        <v>12</v>
      </c>
    </row>
    <row r="17" spans="1:41" ht="12.75" customHeight="1" x14ac:dyDescent="0.25">
      <c r="A17" s="33">
        <v>4</v>
      </c>
      <c r="C17" s="212"/>
      <c r="D17" s="212"/>
      <c r="F17" s="91"/>
      <c r="L17" s="194" t="s">
        <v>79</v>
      </c>
      <c r="M17" s="195"/>
      <c r="N17" s="46"/>
      <c r="O17" s="72" t="str">
        <f>O11</f>
        <v>°C</v>
      </c>
      <c r="P17" s="55">
        <f>-N17</f>
        <v>0</v>
      </c>
      <c r="Q17" s="34"/>
      <c r="R17" s="228" t="s">
        <v>129</v>
      </c>
      <c r="S17" s="229"/>
      <c r="U17" s="75"/>
      <c r="V17" s="75"/>
      <c r="W17" s="82"/>
      <c r="X17" s="82"/>
      <c r="Y17" s="83"/>
      <c r="Z17" s="82"/>
      <c r="AA17" s="82"/>
      <c r="AB17" s="79"/>
      <c r="AC17" s="83"/>
      <c r="AD17" s="34"/>
      <c r="AE17" s="34"/>
      <c r="AG17" s="96"/>
      <c r="AJ17" s="184" t="s">
        <v>189</v>
      </c>
      <c r="AK17" s="184" t="s">
        <v>135</v>
      </c>
      <c r="AL17" s="184" t="s">
        <v>1430</v>
      </c>
      <c r="AM17" s="184" t="s">
        <v>1438</v>
      </c>
      <c r="AN17" s="184" t="s">
        <v>1535</v>
      </c>
      <c r="AO17" s="184">
        <v>12</v>
      </c>
    </row>
    <row r="18" spans="1:41" ht="12" x14ac:dyDescent="0.25">
      <c r="A18" s="33">
        <v>5</v>
      </c>
      <c r="C18" s="212"/>
      <c r="D18" s="212"/>
      <c r="F18" s="91"/>
      <c r="M18" s="6"/>
      <c r="N18" s="73"/>
      <c r="O18" s="74"/>
      <c r="P18" s="55">
        <f>-N18</f>
        <v>0</v>
      </c>
      <c r="Q18" s="34"/>
      <c r="R18" s="218" t="s">
        <v>130</v>
      </c>
      <c r="S18" s="219"/>
      <c r="T18" s="33"/>
      <c r="U18" s="75"/>
      <c r="V18" s="75"/>
      <c r="W18" s="82"/>
      <c r="X18" s="82"/>
      <c r="Y18" s="83"/>
      <c r="Z18" s="82"/>
      <c r="AA18" s="82"/>
      <c r="AB18" s="79"/>
      <c r="AC18" s="83"/>
      <c r="AD18" s="34"/>
      <c r="AE18" s="34"/>
      <c r="AG18" s="65"/>
      <c r="AJ18" s="184" t="s">
        <v>190</v>
      </c>
      <c r="AK18" s="184" t="s">
        <v>135</v>
      </c>
      <c r="AL18" s="184" t="s">
        <v>1430</v>
      </c>
      <c r="AM18" s="184" t="s">
        <v>1438</v>
      </c>
      <c r="AN18" s="184" t="s">
        <v>1535</v>
      </c>
      <c r="AO18" s="184">
        <v>12</v>
      </c>
    </row>
    <row r="19" spans="1:41" ht="12" x14ac:dyDescent="0.25">
      <c r="C19" s="125"/>
      <c r="D19" s="125"/>
      <c r="F19" s="91"/>
      <c r="M19" s="6"/>
      <c r="N19" s="81"/>
      <c r="O19" s="75"/>
      <c r="P19" s="55"/>
      <c r="Q19" s="34"/>
      <c r="R19" s="226"/>
      <c r="S19" s="227"/>
      <c r="T19" s="33"/>
      <c r="U19" s="75"/>
      <c r="V19" s="75"/>
      <c r="W19" s="82"/>
      <c r="X19" s="82"/>
      <c r="Y19" s="83"/>
      <c r="Z19" s="82"/>
      <c r="AA19" s="82"/>
      <c r="AB19" s="79"/>
      <c r="AC19" s="83"/>
      <c r="AD19" s="34"/>
      <c r="AE19" s="34"/>
      <c r="AG19" s="65"/>
      <c r="AJ19" s="184" t="s">
        <v>191</v>
      </c>
      <c r="AK19" s="184" t="s">
        <v>135</v>
      </c>
      <c r="AL19" s="184" t="s">
        <v>1430</v>
      </c>
      <c r="AM19" s="184" t="s">
        <v>1438</v>
      </c>
      <c r="AN19" s="184" t="s">
        <v>1535</v>
      </c>
      <c r="AO19" s="184">
        <v>12</v>
      </c>
    </row>
    <row r="20" spans="1:41" ht="12" x14ac:dyDescent="0.25">
      <c r="C20" s="125"/>
      <c r="D20" s="125"/>
      <c r="F20" s="91"/>
      <c r="M20" s="6"/>
      <c r="N20" s="81"/>
      <c r="O20" s="75"/>
      <c r="P20" s="55"/>
      <c r="Q20" s="34"/>
      <c r="R20" s="33"/>
      <c r="S20" s="33"/>
      <c r="T20" s="33"/>
      <c r="U20" s="75"/>
      <c r="V20" s="75"/>
      <c r="W20" s="82"/>
      <c r="X20" s="82"/>
      <c r="Y20" s="83"/>
      <c r="Z20" s="82"/>
      <c r="AA20" s="82"/>
      <c r="AB20" s="79"/>
      <c r="AC20" s="83"/>
      <c r="AD20" s="34"/>
      <c r="AE20" s="34"/>
      <c r="AG20" s="65"/>
      <c r="AJ20" s="184" t="s">
        <v>192</v>
      </c>
      <c r="AK20" s="184" t="s">
        <v>135</v>
      </c>
      <c r="AL20" s="184" t="s">
        <v>1430</v>
      </c>
      <c r="AM20" s="184" t="s">
        <v>1438</v>
      </c>
      <c r="AN20" s="184" t="s">
        <v>1535</v>
      </c>
      <c r="AO20" s="184">
        <v>12</v>
      </c>
    </row>
    <row r="21" spans="1:41" ht="12" x14ac:dyDescent="0.25">
      <c r="C21" s="125"/>
      <c r="D21" s="125"/>
      <c r="F21" s="91"/>
      <c r="M21" s="6"/>
      <c r="N21" s="81"/>
      <c r="O21" s="75"/>
      <c r="P21" s="55"/>
      <c r="Q21" s="34"/>
      <c r="R21" s="221" t="s">
        <v>64</v>
      </c>
      <c r="S21" s="221"/>
      <c r="T21" s="33"/>
      <c r="U21" s="75"/>
      <c r="V21" s="75"/>
      <c r="W21" s="82"/>
      <c r="X21" s="82"/>
      <c r="Y21" s="83"/>
      <c r="Z21" s="82"/>
      <c r="AA21" s="82"/>
      <c r="AB21" s="79"/>
      <c r="AC21" s="83"/>
      <c r="AD21" s="34"/>
      <c r="AE21" s="34"/>
      <c r="AG21" s="65"/>
      <c r="AJ21" s="184" t="s">
        <v>193</v>
      </c>
      <c r="AK21" s="184" t="s">
        <v>135</v>
      </c>
      <c r="AL21" s="184" t="s">
        <v>1430</v>
      </c>
      <c r="AM21" s="184" t="s">
        <v>1438</v>
      </c>
      <c r="AN21" s="184" t="s">
        <v>1535</v>
      </c>
      <c r="AO21" s="184">
        <v>12</v>
      </c>
    </row>
    <row r="22" spans="1:41" ht="12" x14ac:dyDescent="0.25">
      <c r="C22" s="125"/>
      <c r="D22" s="125"/>
      <c r="F22" s="91"/>
      <c r="M22" s="6"/>
      <c r="N22" s="81"/>
      <c r="O22" s="75"/>
      <c r="P22" s="55"/>
      <c r="Q22" s="34"/>
      <c r="R22" s="53" t="s">
        <v>6</v>
      </c>
      <c r="S22" s="53" t="s">
        <v>7</v>
      </c>
      <c r="T22" s="6"/>
      <c r="U22" s="75"/>
      <c r="V22" s="75"/>
      <c r="W22" s="82"/>
      <c r="X22" s="82"/>
      <c r="Y22" s="83"/>
      <c r="Z22" s="82"/>
      <c r="AA22" s="82"/>
      <c r="AB22" s="79"/>
      <c r="AC22" s="83"/>
      <c r="AD22" s="34"/>
      <c r="AE22" s="34"/>
      <c r="AG22" s="65"/>
      <c r="AH22" s="65"/>
      <c r="AJ22" s="184" t="s">
        <v>1680</v>
      </c>
      <c r="AK22" s="184" t="s">
        <v>135</v>
      </c>
      <c r="AL22" s="184" t="s">
        <v>1430</v>
      </c>
      <c r="AM22" s="184" t="s">
        <v>1438</v>
      </c>
      <c r="AN22" s="184" t="s">
        <v>1535</v>
      </c>
      <c r="AO22" s="184">
        <v>12</v>
      </c>
    </row>
    <row r="23" spans="1:41" ht="12" x14ac:dyDescent="0.25">
      <c r="C23" s="125"/>
      <c r="D23" s="125"/>
      <c r="F23" s="91"/>
      <c r="M23" s="6"/>
      <c r="N23" s="81"/>
      <c r="O23" s="75"/>
      <c r="P23" s="55"/>
      <c r="Q23" s="34"/>
      <c r="R23" s="54"/>
      <c r="S23" s="54"/>
      <c r="T23" s="6" t="s">
        <v>65</v>
      </c>
      <c r="U23" s="75"/>
      <c r="V23" s="75"/>
      <c r="W23" s="82"/>
      <c r="X23" s="82"/>
      <c r="Y23" s="83"/>
      <c r="Z23" s="82"/>
      <c r="AA23" s="82"/>
      <c r="AB23" s="79"/>
      <c r="AC23" s="83"/>
      <c r="AD23" s="34"/>
      <c r="AE23" s="34"/>
      <c r="AG23" s="65"/>
      <c r="AH23" s="65"/>
      <c r="AJ23" s="184" t="s">
        <v>1681</v>
      </c>
      <c r="AK23" s="184" t="s">
        <v>135</v>
      </c>
      <c r="AL23" s="184" t="s">
        <v>1430</v>
      </c>
      <c r="AM23" s="184" t="s">
        <v>1438</v>
      </c>
      <c r="AN23" s="184" t="s">
        <v>1535</v>
      </c>
      <c r="AO23" s="184">
        <v>12</v>
      </c>
    </row>
    <row r="24" spans="1:41" ht="12" x14ac:dyDescent="0.25">
      <c r="C24" s="125"/>
      <c r="D24" s="125"/>
      <c r="F24" s="91"/>
      <c r="M24" s="6"/>
      <c r="N24" s="186" t="s">
        <v>161</v>
      </c>
      <c r="O24" s="122"/>
      <c r="P24" s="55"/>
      <c r="Q24" s="34"/>
      <c r="R24" s="54"/>
      <c r="S24" s="54"/>
      <c r="T24" s="6" t="s">
        <v>33</v>
      </c>
      <c r="U24" s="75"/>
      <c r="V24" s="75"/>
      <c r="W24" s="82"/>
      <c r="X24" s="82"/>
      <c r="Y24" s="83"/>
      <c r="Z24" s="82"/>
      <c r="AA24" s="82"/>
      <c r="AB24" s="79"/>
      <c r="AC24" s="83"/>
      <c r="AD24" s="34"/>
      <c r="AE24" s="34"/>
      <c r="AG24" s="65"/>
      <c r="AH24" s="65"/>
      <c r="AJ24" s="184" t="s">
        <v>194</v>
      </c>
      <c r="AK24" s="184" t="s">
        <v>135</v>
      </c>
      <c r="AL24" s="184" t="s">
        <v>1430</v>
      </c>
      <c r="AM24" s="184" t="s">
        <v>1438</v>
      </c>
      <c r="AN24" s="184" t="s">
        <v>1535</v>
      </c>
      <c r="AO24" s="184">
        <v>12</v>
      </c>
    </row>
    <row r="25" spans="1:41" ht="12" x14ac:dyDescent="0.25">
      <c r="C25" s="212"/>
      <c r="D25" s="212"/>
      <c r="F25" s="91"/>
      <c r="M25" s="6"/>
      <c r="N25" s="75"/>
      <c r="O25" s="75"/>
      <c r="P25" s="55">
        <f>-N25</f>
        <v>0</v>
      </c>
      <c r="Q25" s="34"/>
      <c r="R25" s="34"/>
      <c r="S25" s="34"/>
      <c r="T25" s="34"/>
      <c r="U25" s="75"/>
      <c r="V25" s="75"/>
      <c r="W25" s="82"/>
      <c r="X25" s="82"/>
      <c r="Y25" s="83"/>
      <c r="Z25" s="82"/>
      <c r="AA25" s="82"/>
      <c r="AB25" s="79"/>
      <c r="AC25" s="83"/>
      <c r="AD25" s="34"/>
      <c r="AE25" s="34"/>
      <c r="AG25" s="65"/>
      <c r="AH25" s="65"/>
      <c r="AJ25" s="184" t="s">
        <v>195</v>
      </c>
      <c r="AK25" s="184" t="s">
        <v>135</v>
      </c>
      <c r="AL25" s="184" t="s">
        <v>1430</v>
      </c>
      <c r="AM25" s="184" t="s">
        <v>1438</v>
      </c>
      <c r="AN25" s="184" t="s">
        <v>1535</v>
      </c>
      <c r="AO25" s="184">
        <v>12</v>
      </c>
    </row>
    <row r="26" spans="1:41" ht="12" x14ac:dyDescent="0.25">
      <c r="C26" s="212"/>
      <c r="D26" s="212"/>
      <c r="F26" s="91"/>
      <c r="M26" s="93"/>
      <c r="N26" s="53" t="s">
        <v>95</v>
      </c>
      <c r="O26" s="53" t="s">
        <v>91</v>
      </c>
      <c r="P26" s="201" t="s">
        <v>92</v>
      </c>
      <c r="Q26" s="201"/>
      <c r="R26" s="53" t="s">
        <v>94</v>
      </c>
      <c r="S26" s="53" t="s">
        <v>93</v>
      </c>
      <c r="T26" s="34"/>
      <c r="U26" s="75"/>
      <c r="V26" s="75"/>
      <c r="W26" s="82"/>
      <c r="X26" s="82"/>
      <c r="Y26" s="83"/>
      <c r="Z26" s="82"/>
      <c r="AA26" s="82"/>
      <c r="AB26" s="79"/>
      <c r="AC26" s="83"/>
      <c r="AD26" s="34"/>
      <c r="AE26" s="34"/>
      <c r="AG26" s="65"/>
      <c r="AH26" s="65"/>
      <c r="AJ26" s="184" t="s">
        <v>196</v>
      </c>
      <c r="AK26" s="184" t="s">
        <v>135</v>
      </c>
      <c r="AL26" s="184" t="s">
        <v>1430</v>
      </c>
      <c r="AM26" s="184" t="s">
        <v>1438</v>
      </c>
      <c r="AN26" s="184" t="s">
        <v>1535</v>
      </c>
      <c r="AO26" s="184">
        <v>12</v>
      </c>
    </row>
    <row r="27" spans="1:41" x14ac:dyDescent="0.25">
      <c r="C27" s="212"/>
      <c r="D27" s="212"/>
      <c r="M27" s="94"/>
      <c r="N27" s="122"/>
      <c r="O27" s="122"/>
      <c r="P27" s="202"/>
      <c r="Q27" s="203"/>
      <c r="R27" s="122"/>
      <c r="S27" s="122"/>
      <c r="T27" s="6" t="s">
        <v>65</v>
      </c>
      <c r="U27" s="225" t="str">
        <f>IF(G9&gt;G10,"FALTAN DATOS PARA PRUEBA","LISTO, IMPRIMIR REPORTE")</f>
        <v>FALTAN DATOS PARA PRUEBA</v>
      </c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J27" s="184" t="s">
        <v>197</v>
      </c>
      <c r="AK27" s="184" t="s">
        <v>135</v>
      </c>
      <c r="AL27" s="184" t="s">
        <v>1430</v>
      </c>
      <c r="AM27" s="184" t="s">
        <v>1438</v>
      </c>
      <c r="AN27" s="184" t="s">
        <v>1535</v>
      </c>
      <c r="AO27" s="184">
        <v>12</v>
      </c>
    </row>
    <row r="28" spans="1:41" x14ac:dyDescent="0.25">
      <c r="C28" s="212"/>
      <c r="D28" s="212"/>
      <c r="M28" s="34"/>
      <c r="N28" s="55"/>
      <c r="O28" s="34"/>
      <c r="P28" s="34"/>
      <c r="Q28" s="34"/>
      <c r="R28" s="34"/>
      <c r="S28" s="34"/>
      <c r="T28" s="34"/>
      <c r="AJ28" s="184" t="s">
        <v>198</v>
      </c>
      <c r="AK28" s="184" t="s">
        <v>135</v>
      </c>
      <c r="AL28" s="184" t="s">
        <v>1430</v>
      </c>
      <c r="AM28" s="184" t="s">
        <v>1438</v>
      </c>
      <c r="AN28" s="184" t="s">
        <v>1535</v>
      </c>
      <c r="AO28" s="184">
        <v>12</v>
      </c>
    </row>
    <row r="29" spans="1:41" ht="12" x14ac:dyDescent="0.2">
      <c r="C29" s="212"/>
      <c r="D29" s="212"/>
      <c r="M29" s="34"/>
      <c r="N29" s="55">
        <f>COUNTA(N1,N3,O3,N4,N5,N6,N7,N8,N10,N11,N12,N13,N14,N15,#REF!)</f>
        <v>6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G29" s="65"/>
      <c r="AH29" s="65"/>
      <c r="AJ29" s="184" t="s">
        <v>199</v>
      </c>
      <c r="AK29" s="184" t="s">
        <v>135</v>
      </c>
      <c r="AL29" s="184" t="s">
        <v>1430</v>
      </c>
      <c r="AM29" s="184" t="s">
        <v>1438</v>
      </c>
      <c r="AN29" s="184" t="s">
        <v>1535</v>
      </c>
      <c r="AO29" s="184">
        <v>12</v>
      </c>
    </row>
    <row r="30" spans="1:41" ht="12" customHeight="1" x14ac:dyDescent="0.35">
      <c r="A30" s="35" t="s">
        <v>19</v>
      </c>
      <c r="B30" s="196" t="s">
        <v>0</v>
      </c>
      <c r="C30" s="197"/>
      <c r="D30" s="196" t="s">
        <v>68</v>
      </c>
      <c r="E30" s="198"/>
      <c r="F30" s="198"/>
      <c r="G30" s="197"/>
      <c r="H30" s="37" t="s">
        <v>26</v>
      </c>
      <c r="I30" s="199" t="s">
        <v>67</v>
      </c>
      <c r="J30" s="200"/>
      <c r="M30" s="34"/>
      <c r="N30" s="67" t="s">
        <v>71</v>
      </c>
      <c r="O30" s="67">
        <f>IF(N15="Formula",N25,N18)</f>
        <v>0</v>
      </c>
      <c r="P30" s="34"/>
      <c r="Q30" s="34"/>
      <c r="R30" s="34"/>
      <c r="S30" s="34"/>
      <c r="T30" s="209" t="s">
        <v>107</v>
      </c>
      <c r="U30" s="209"/>
      <c r="V30" s="69" t="s">
        <v>108</v>
      </c>
      <c r="W30" s="69" t="s">
        <v>109</v>
      </c>
      <c r="X30" s="69" t="s">
        <v>110</v>
      </c>
      <c r="Y30" s="209" t="s">
        <v>111</v>
      </c>
      <c r="Z30" s="209"/>
      <c r="AA30" s="69" t="s">
        <v>112</v>
      </c>
      <c r="AB30" s="69" t="s">
        <v>113</v>
      </c>
      <c r="AC30" s="69" t="s">
        <v>114</v>
      </c>
      <c r="AD30" s="201" t="s">
        <v>115</v>
      </c>
      <c r="AE30" s="201"/>
      <c r="AF30" s="37" t="s">
        <v>116</v>
      </c>
      <c r="AG30" s="106" t="s">
        <v>117</v>
      </c>
      <c r="AH30" s="65"/>
      <c r="AJ30" s="184" t="s">
        <v>200</v>
      </c>
      <c r="AK30" s="184" t="s">
        <v>83</v>
      </c>
      <c r="AL30" s="184" t="s">
        <v>1430</v>
      </c>
      <c r="AM30" s="184" t="s">
        <v>1436</v>
      </c>
      <c r="AN30" s="184" t="s">
        <v>1535</v>
      </c>
      <c r="AO30" s="184">
        <v>12</v>
      </c>
    </row>
    <row r="31" spans="1:41" ht="10.5" x14ac:dyDescent="0.25">
      <c r="A31" s="35">
        <v>1</v>
      </c>
      <c r="B31" s="35" t="s">
        <v>168</v>
      </c>
      <c r="C31" s="35"/>
      <c r="D31" s="222" t="s">
        <v>84</v>
      </c>
      <c r="E31" s="235"/>
      <c r="F31" s="235"/>
      <c r="G31" s="223"/>
      <c r="H31" s="36">
        <v>46539</v>
      </c>
      <c r="I31" s="35" t="s">
        <v>2380</v>
      </c>
      <c r="J31" s="35"/>
      <c r="M31" s="34"/>
      <c r="N31" s="67" t="s">
        <v>72</v>
      </c>
      <c r="O31" s="67">
        <f>-O30</f>
        <v>0</v>
      </c>
      <c r="P31" s="34"/>
      <c r="Q31" s="34"/>
      <c r="R31" s="34"/>
      <c r="S31" s="34"/>
      <c r="T31" s="108" t="str">
        <f>IF(N27="","",N27)</f>
        <v/>
      </c>
      <c r="U31" s="109">
        <v>1</v>
      </c>
      <c r="V31" s="64" t="e">
        <f>V4-X4</f>
        <v>#VALUE!</v>
      </c>
      <c r="W31" s="64" t="e">
        <f>V5-X5</f>
        <v>#VALUE!</v>
      </c>
      <c r="X31" s="64" t="e">
        <f>V6-X6</f>
        <v>#VALUE!</v>
      </c>
      <c r="Y31" s="111" t="e">
        <f>V7-X7</f>
        <v>#VALUE!</v>
      </c>
      <c r="Z31" s="113" t="e">
        <f>AA31</f>
        <v>#VALUE!</v>
      </c>
      <c r="AA31" s="64" t="e">
        <f>V8-X8</f>
        <v>#VALUE!</v>
      </c>
      <c r="AB31" s="64" t="e">
        <f>IF($N$16=3,STDEV(V31:X31)/SQRT(COUNT(X4:X8)),STDEV(V31:AA31)/SQRT(COUNT(X4:X8)))</f>
        <v>#VALUE!</v>
      </c>
      <c r="AC31" s="35" t="str">
        <f>IF(T31="","",HLOOKUP($S$1,Patrones!$B$57:$AZ$82,4,FALSE))</f>
        <v/>
      </c>
      <c r="AD31" s="224">
        <f>($N$14*$N$13)/SQRT(12)</f>
        <v>0</v>
      </c>
      <c r="AE31" s="224"/>
      <c r="AF31" s="64" t="e">
        <f>SQRT(SUMSQ(AB31,AC31,AD31))</f>
        <v>#VALUE!</v>
      </c>
      <c r="AG31" s="107" t="e">
        <f>AF31*2</f>
        <v>#VALUE!</v>
      </c>
      <c r="AH31" s="65"/>
      <c r="AJ31" s="184" t="s">
        <v>201</v>
      </c>
      <c r="AK31" s="184" t="s">
        <v>83</v>
      </c>
      <c r="AL31" s="184" t="s">
        <v>1430</v>
      </c>
      <c r="AM31" s="184" t="s">
        <v>1436</v>
      </c>
      <c r="AN31" s="184" t="s">
        <v>1535</v>
      </c>
      <c r="AO31" s="184">
        <v>12</v>
      </c>
    </row>
    <row r="32" spans="1:41" ht="10.5" x14ac:dyDescent="0.25">
      <c r="A32" s="35">
        <v>2</v>
      </c>
      <c r="B32" s="35" t="s">
        <v>81</v>
      </c>
      <c r="C32" s="35"/>
      <c r="D32" s="35" t="s">
        <v>85</v>
      </c>
      <c r="E32" s="59"/>
      <c r="F32" s="77"/>
      <c r="G32" s="60"/>
      <c r="H32" s="36">
        <v>45168</v>
      </c>
      <c r="I32" s="35" t="s">
        <v>131</v>
      </c>
      <c r="J32" s="35"/>
      <c r="M32" s="34"/>
      <c r="N32" s="34"/>
      <c r="O32" s="34"/>
      <c r="P32" s="34"/>
      <c r="Q32" s="34"/>
      <c r="R32" s="34"/>
      <c r="S32" s="34"/>
      <c r="T32" s="108" t="str">
        <f>IF(O27="","",O27)</f>
        <v/>
      </c>
      <c r="U32" s="109">
        <v>2</v>
      </c>
      <c r="V32" s="64" t="e">
        <f>AA4-AC4</f>
        <v>#VALUE!</v>
      </c>
      <c r="W32" s="64" t="e">
        <f>AA5-AC5</f>
        <v>#VALUE!</v>
      </c>
      <c r="X32" s="64" t="e">
        <f>AA6-AC6</f>
        <v>#VALUE!</v>
      </c>
      <c r="Y32" s="110" t="e">
        <f>AA7-AC7</f>
        <v>#VALUE!</v>
      </c>
      <c r="Z32" s="113" t="e">
        <f>AA32</f>
        <v>#VALUE!</v>
      </c>
      <c r="AA32" s="64" t="e">
        <f>AA8-AC8</f>
        <v>#VALUE!</v>
      </c>
      <c r="AB32" s="64" t="e">
        <f>IF($N$16=3,STDEV(V32:X32)/SQRT(COUNT(AC4:AC8)),STDEV(V32:AA32)/SQRT(COUNT(AC4:AC8)))</f>
        <v>#VALUE!</v>
      </c>
      <c r="AC32" s="35" t="str">
        <f>IF(T32="","",HLOOKUP($S$1,Patrones!$B$57:$AZ$82,7,FALSE))</f>
        <v/>
      </c>
      <c r="AD32" s="224">
        <f>($N$14*$N$13)/SQRT(12)</f>
        <v>0</v>
      </c>
      <c r="AE32" s="224"/>
      <c r="AF32" s="64" t="e">
        <f>SQRT(SUMSQ(AB32,AC32,AD32))</f>
        <v>#VALUE!</v>
      </c>
      <c r="AG32" s="107" t="e">
        <f>AF32*2</f>
        <v>#VALUE!</v>
      </c>
      <c r="AH32" s="65"/>
      <c r="AJ32" s="184" t="s">
        <v>202</v>
      </c>
      <c r="AK32" s="184" t="s">
        <v>83</v>
      </c>
      <c r="AL32" s="184" t="s">
        <v>1430</v>
      </c>
      <c r="AM32" s="184" t="s">
        <v>1436</v>
      </c>
      <c r="AN32" s="184" t="s">
        <v>1535</v>
      </c>
      <c r="AO32" s="184">
        <v>12</v>
      </c>
    </row>
    <row r="33" spans="1:41" ht="11.25" customHeight="1" x14ac:dyDescent="0.25">
      <c r="A33" s="35">
        <v>3</v>
      </c>
      <c r="B33" s="222" t="s">
        <v>1553</v>
      </c>
      <c r="C33" s="223"/>
      <c r="D33" s="222" t="s">
        <v>84</v>
      </c>
      <c r="E33" s="235"/>
      <c r="F33" s="235"/>
      <c r="G33" s="223"/>
      <c r="H33" s="36">
        <v>45809</v>
      </c>
      <c r="I33" s="222" t="s">
        <v>1554</v>
      </c>
      <c r="J33" s="223"/>
      <c r="M33" s="34"/>
      <c r="N33" s="34"/>
      <c r="O33" s="34"/>
      <c r="P33" s="34"/>
      <c r="Q33" s="34"/>
      <c r="R33" s="34"/>
      <c r="S33" s="34"/>
      <c r="T33" s="108" t="str">
        <f>IF(P27="","",P27)</f>
        <v/>
      </c>
      <c r="U33" s="109">
        <v>3</v>
      </c>
      <c r="V33" s="64" t="e">
        <f>AF4-AH4</f>
        <v>#VALUE!</v>
      </c>
      <c r="W33" s="64" t="e">
        <f>AF6-AH6</f>
        <v>#VALUE!</v>
      </c>
      <c r="X33" s="64" t="e">
        <f>AF7-AH7</f>
        <v>#VALUE!</v>
      </c>
      <c r="Y33" s="110" t="e">
        <f>AF8-AH8</f>
        <v>#VALUE!</v>
      </c>
      <c r="Z33" s="113" t="e">
        <f>AA33</f>
        <v>#VALUE!</v>
      </c>
      <c r="AA33" s="64" t="e">
        <f>AF8-AH8</f>
        <v>#VALUE!</v>
      </c>
      <c r="AB33" s="64" t="e">
        <f>IF($N$16=3,STDEV(V33:X33)/SQRT(COUNT(AH4:AH8)),STDEV(V33:AA33)/SQRT(COUNT(AH4:AH8)))</f>
        <v>#VALUE!</v>
      </c>
      <c r="AC33" s="35" t="str">
        <f>IF(T33="","",HLOOKUP($S$1,Patrones!$B$57:$AZ$82,10,FALSE))</f>
        <v/>
      </c>
      <c r="AD33" s="224">
        <f>($N$14*$N$13)/SQRT(12)</f>
        <v>0</v>
      </c>
      <c r="AE33" s="224"/>
      <c r="AF33" s="64" t="e">
        <f>SQRT(SUMSQ(AB33,AC33,AD33))</f>
        <v>#VALUE!</v>
      </c>
      <c r="AG33" s="107" t="e">
        <f>AF33*2</f>
        <v>#VALUE!</v>
      </c>
      <c r="AH33" s="65"/>
      <c r="AJ33" s="184" t="s">
        <v>203</v>
      </c>
      <c r="AK33" s="184" t="s">
        <v>83</v>
      </c>
      <c r="AL33" s="184" t="s">
        <v>1430</v>
      </c>
      <c r="AM33" s="184" t="s">
        <v>1436</v>
      </c>
      <c r="AN33" s="184" t="s">
        <v>1535</v>
      </c>
      <c r="AO33" s="184">
        <v>12</v>
      </c>
    </row>
    <row r="34" spans="1:41" ht="10.5" x14ac:dyDescent="0.25">
      <c r="A34" s="35">
        <v>4</v>
      </c>
      <c r="B34" s="222" t="s">
        <v>970</v>
      </c>
      <c r="C34" s="223"/>
      <c r="D34" s="35" t="s">
        <v>83</v>
      </c>
      <c r="E34" s="35"/>
      <c r="F34" s="59"/>
      <c r="G34" s="60"/>
      <c r="H34" s="36">
        <v>46235</v>
      </c>
      <c r="I34" s="222" t="s">
        <v>1954</v>
      </c>
      <c r="J34" s="223"/>
      <c r="M34" s="34"/>
      <c r="N34" s="34"/>
      <c r="O34" s="34"/>
      <c r="P34" s="34"/>
      <c r="Q34" s="34"/>
      <c r="R34" s="34"/>
      <c r="S34" s="34"/>
      <c r="T34" s="108" t="str">
        <f>IF(R27="","",R27)</f>
        <v/>
      </c>
      <c r="U34" s="109">
        <v>4</v>
      </c>
      <c r="V34" s="64" t="e">
        <f>V12-X12</f>
        <v>#VALUE!</v>
      </c>
      <c r="W34" s="64" t="e">
        <f>V13-X13</f>
        <v>#VALUE!</v>
      </c>
      <c r="X34" s="64" t="e">
        <f>V14-X14</f>
        <v>#VALUE!</v>
      </c>
      <c r="Y34" s="110" t="e">
        <f>V15-X15</f>
        <v>#VALUE!</v>
      </c>
      <c r="Z34" s="113" t="e">
        <f>AA34</f>
        <v>#VALUE!</v>
      </c>
      <c r="AA34" s="64" t="e">
        <f>V16-X16</f>
        <v>#VALUE!</v>
      </c>
      <c r="AB34" s="64" t="e">
        <f>IF($N$16=3,STDEV(V34:X34)/SQRT(COUNT(X12:X16)),STDEV(V34:AA34)/SQRT(COUNT(X12:X16)))</f>
        <v>#VALUE!</v>
      </c>
      <c r="AC34" s="35" t="str">
        <f>IF(T34="","",HLOOKUP($S$1,Patrones!$B$57:$AZ$82,13,FALSE))</f>
        <v/>
      </c>
      <c r="AD34" s="224">
        <f>($N$14*$N$13)/SQRT(12)</f>
        <v>0</v>
      </c>
      <c r="AE34" s="224"/>
      <c r="AF34" s="64" t="e">
        <f>SQRT(SUMSQ(AB34,AC34,AD34))</f>
        <v>#VALUE!</v>
      </c>
      <c r="AG34" s="107" t="e">
        <f>AF34*2</f>
        <v>#VALUE!</v>
      </c>
      <c r="AH34" s="65"/>
      <c r="AJ34" s="184" t="s">
        <v>204</v>
      </c>
      <c r="AK34" s="184" t="s">
        <v>83</v>
      </c>
      <c r="AL34" s="184" t="s">
        <v>1430</v>
      </c>
      <c r="AM34" s="184" t="s">
        <v>1436</v>
      </c>
      <c r="AN34" s="184" t="s">
        <v>1535</v>
      </c>
      <c r="AO34" s="184">
        <v>12</v>
      </c>
    </row>
    <row r="35" spans="1:41" ht="10.5" x14ac:dyDescent="0.25">
      <c r="A35" s="35">
        <v>5</v>
      </c>
      <c r="B35" s="35" t="s">
        <v>644</v>
      </c>
      <c r="C35" s="35"/>
      <c r="D35" s="35" t="s">
        <v>84</v>
      </c>
      <c r="E35" s="35"/>
      <c r="F35" s="59"/>
      <c r="G35" s="60"/>
      <c r="H35" s="36">
        <v>46204</v>
      </c>
      <c r="I35" s="35" t="s">
        <v>1951</v>
      </c>
      <c r="J35" s="35"/>
      <c r="M35" s="34"/>
      <c r="N35" s="34"/>
      <c r="O35" s="34"/>
      <c r="P35" s="34"/>
      <c r="Q35" s="34"/>
      <c r="R35" s="34"/>
      <c r="S35" s="34"/>
      <c r="T35" s="108" t="str">
        <f>IF(S27="","",S27)</f>
        <v/>
      </c>
      <c r="U35" s="109">
        <v>5</v>
      </c>
      <c r="V35" s="64" t="e">
        <f>AA12-AC12</f>
        <v>#VALUE!</v>
      </c>
      <c r="W35" s="64" t="e">
        <f>AA13-AC13</f>
        <v>#VALUE!</v>
      </c>
      <c r="X35" s="64" t="e">
        <f>AA14-AC14</f>
        <v>#VALUE!</v>
      </c>
      <c r="Y35" s="110" t="e">
        <f>AA15-AC15</f>
        <v>#VALUE!</v>
      </c>
      <c r="Z35" s="113" t="e">
        <f>AA35</f>
        <v>#VALUE!</v>
      </c>
      <c r="AA35" s="64" t="e">
        <f>AA16-AC16</f>
        <v>#VALUE!</v>
      </c>
      <c r="AB35" s="64" t="e">
        <f>IF($N$16=3,STDEV(V35:X35)/SQRT(COUNT(AC12:AC16)),STDEV(V35:AA35)/SQRT(COUNT(AC12:AC16)))</f>
        <v>#VALUE!</v>
      </c>
      <c r="AC35" s="35" t="str">
        <f>IF(T35="","",HLOOKUP($S$1,Patrones!$B$57:$AZ$82,16,FALSE))</f>
        <v/>
      </c>
      <c r="AD35" s="224">
        <f>($N$14*$N$13)/SQRT(12)</f>
        <v>0</v>
      </c>
      <c r="AE35" s="224"/>
      <c r="AF35" s="64" t="e">
        <f>SQRT(SUMSQ(AB35,AC35,AD35))</f>
        <v>#VALUE!</v>
      </c>
      <c r="AG35" s="107" t="e">
        <f>AF35*2</f>
        <v>#VALUE!</v>
      </c>
      <c r="AH35" s="65"/>
      <c r="AJ35" s="184" t="s">
        <v>205</v>
      </c>
      <c r="AK35" s="184" t="s">
        <v>83</v>
      </c>
      <c r="AL35" s="184" t="s">
        <v>1430</v>
      </c>
      <c r="AM35" s="184" t="s">
        <v>1436</v>
      </c>
      <c r="AN35" s="184" t="s">
        <v>1535</v>
      </c>
      <c r="AO35" s="184">
        <v>12</v>
      </c>
    </row>
    <row r="36" spans="1:41" ht="10" x14ac:dyDescent="0.2">
      <c r="A36" s="35">
        <v>6</v>
      </c>
      <c r="B36" s="35" t="s">
        <v>1546</v>
      </c>
      <c r="C36" s="35"/>
      <c r="D36" s="35" t="s">
        <v>87</v>
      </c>
      <c r="E36" s="35"/>
      <c r="F36" s="59"/>
      <c r="G36" s="60"/>
      <c r="H36" s="36">
        <v>46174</v>
      </c>
      <c r="I36" s="35" t="s">
        <v>1949</v>
      </c>
      <c r="J36" s="35"/>
      <c r="M36" s="34"/>
      <c r="N36" s="34"/>
      <c r="O36" s="34"/>
      <c r="P36" s="34"/>
      <c r="Q36" s="34"/>
      <c r="R36" s="34"/>
      <c r="S36" s="34"/>
      <c r="T36" s="71"/>
      <c r="U36" s="102"/>
      <c r="V36" s="102"/>
      <c r="W36" s="102"/>
      <c r="X36" s="102"/>
      <c r="Y36" s="102"/>
      <c r="Z36" s="103"/>
      <c r="AA36" s="102"/>
      <c r="AB36" s="102"/>
      <c r="AC36" s="104"/>
      <c r="AD36" s="34"/>
      <c r="AE36" s="34"/>
      <c r="AG36" s="65"/>
      <c r="AH36" s="65"/>
      <c r="AJ36" s="184" t="s">
        <v>206</v>
      </c>
      <c r="AK36" s="184" t="s">
        <v>83</v>
      </c>
      <c r="AL36" s="184" t="s">
        <v>1430</v>
      </c>
      <c r="AM36" s="184" t="s">
        <v>1436</v>
      </c>
      <c r="AN36" s="184" t="s">
        <v>1535</v>
      </c>
      <c r="AO36" s="184">
        <v>12</v>
      </c>
    </row>
    <row r="37" spans="1:41" ht="10" x14ac:dyDescent="0.2">
      <c r="A37" s="35">
        <v>7</v>
      </c>
      <c r="B37" s="35" t="s">
        <v>1547</v>
      </c>
      <c r="C37" s="35"/>
      <c r="D37" s="35" t="s">
        <v>87</v>
      </c>
      <c r="E37" s="35"/>
      <c r="F37" s="59"/>
      <c r="G37" s="60"/>
      <c r="H37" s="36">
        <v>46174</v>
      </c>
      <c r="I37" s="35" t="s">
        <v>1949</v>
      </c>
      <c r="J37" s="35"/>
      <c r="M37" s="34"/>
      <c r="N37" s="34"/>
      <c r="O37" s="57"/>
      <c r="P37" s="57"/>
      <c r="Q37" s="34"/>
      <c r="R37" s="34"/>
      <c r="S37" s="34"/>
      <c r="T37" s="33"/>
      <c r="U37" s="112"/>
      <c r="V37" s="104"/>
      <c r="W37" s="104"/>
      <c r="X37" s="105"/>
      <c r="Y37" s="105"/>
      <c r="Z37" s="105"/>
      <c r="AA37" s="104"/>
      <c r="AB37" s="104"/>
      <c r="AC37" s="104"/>
      <c r="AD37" s="34"/>
      <c r="AE37" s="34"/>
      <c r="AG37" s="65"/>
      <c r="AH37" s="65"/>
      <c r="AJ37" s="184" t="s">
        <v>207</v>
      </c>
      <c r="AK37" s="184" t="s">
        <v>97</v>
      </c>
      <c r="AL37" s="184" t="s">
        <v>1430</v>
      </c>
      <c r="AM37" s="184" t="s">
        <v>1435</v>
      </c>
      <c r="AN37" s="184" t="s">
        <v>1535</v>
      </c>
      <c r="AO37" s="184">
        <v>12</v>
      </c>
    </row>
    <row r="38" spans="1:41" ht="10" x14ac:dyDescent="0.2">
      <c r="A38" s="35">
        <v>8</v>
      </c>
      <c r="B38" s="35" t="s">
        <v>165</v>
      </c>
      <c r="C38" s="35"/>
      <c r="D38" s="35" t="s">
        <v>87</v>
      </c>
      <c r="E38" s="35"/>
      <c r="F38" s="59"/>
      <c r="G38" s="60"/>
      <c r="H38" s="36">
        <v>46174</v>
      </c>
      <c r="I38" s="35" t="s">
        <v>1949</v>
      </c>
      <c r="J38" s="35"/>
      <c r="M38" s="34"/>
      <c r="N38" s="34"/>
      <c r="O38" s="34"/>
      <c r="P38" s="34"/>
      <c r="Q38" s="34"/>
      <c r="R38" s="34"/>
      <c r="S38" s="34"/>
      <c r="T38" s="33"/>
      <c r="U38" s="112"/>
      <c r="V38" s="104"/>
      <c r="W38" s="104"/>
      <c r="X38" s="105"/>
      <c r="Y38" s="105"/>
      <c r="Z38" s="105"/>
      <c r="AA38" s="104"/>
      <c r="AB38" s="104"/>
      <c r="AC38" s="104"/>
      <c r="AD38" s="34"/>
      <c r="AE38" s="34"/>
      <c r="AG38" s="65"/>
      <c r="AH38" s="65"/>
      <c r="AJ38" s="184" t="s">
        <v>208</v>
      </c>
      <c r="AK38" s="184" t="s">
        <v>97</v>
      </c>
      <c r="AL38" s="184" t="s">
        <v>1430</v>
      </c>
      <c r="AM38" s="184" t="s">
        <v>1435</v>
      </c>
      <c r="AN38" s="184" t="s">
        <v>1535</v>
      </c>
      <c r="AO38" s="184">
        <v>12</v>
      </c>
    </row>
    <row r="39" spans="1:41" ht="10.5" x14ac:dyDescent="0.25">
      <c r="A39" s="35">
        <v>9</v>
      </c>
      <c r="B39" s="59" t="s">
        <v>1548</v>
      </c>
      <c r="C39" s="60"/>
      <c r="D39" s="59" t="s">
        <v>87</v>
      </c>
      <c r="E39" s="77"/>
      <c r="F39" s="77"/>
      <c r="G39" s="60"/>
      <c r="H39" s="36">
        <v>46174</v>
      </c>
      <c r="I39" s="35" t="s">
        <v>1949</v>
      </c>
      <c r="J39" s="35"/>
      <c r="M39" s="34"/>
      <c r="N39" s="34"/>
      <c r="O39" s="34"/>
      <c r="P39" s="34"/>
      <c r="Q39" s="30"/>
      <c r="R39" s="56"/>
      <c r="S39" s="34"/>
      <c r="T39" s="34"/>
      <c r="U39" s="112"/>
      <c r="V39" s="104"/>
      <c r="W39" s="104"/>
      <c r="X39" s="105"/>
      <c r="Y39" s="105"/>
      <c r="Z39" s="105"/>
      <c r="AA39" s="34"/>
      <c r="AB39" s="34"/>
      <c r="AC39" s="34"/>
      <c r="AD39" s="30"/>
      <c r="AE39" s="34"/>
      <c r="AG39" s="65"/>
      <c r="AH39" s="65"/>
      <c r="AJ39" s="184" t="s">
        <v>209</v>
      </c>
      <c r="AK39" s="184" t="s">
        <v>97</v>
      </c>
      <c r="AL39" s="184" t="s">
        <v>1430</v>
      </c>
      <c r="AM39" s="184" t="s">
        <v>1435</v>
      </c>
      <c r="AN39" s="184" t="s">
        <v>1535</v>
      </c>
      <c r="AO39" s="184">
        <v>12</v>
      </c>
    </row>
    <row r="40" spans="1:41" ht="10" x14ac:dyDescent="0.2">
      <c r="A40" s="35">
        <v>10</v>
      </c>
      <c r="B40" s="59" t="s">
        <v>82</v>
      </c>
      <c r="C40" s="60"/>
      <c r="D40" s="59" t="s">
        <v>83</v>
      </c>
      <c r="E40" s="77"/>
      <c r="F40" s="77"/>
      <c r="G40" s="60"/>
      <c r="H40" s="36">
        <v>44650</v>
      </c>
      <c r="I40" s="77" t="s">
        <v>88</v>
      </c>
      <c r="J40" s="60"/>
      <c r="M40" s="34"/>
      <c r="N40" s="34"/>
      <c r="O40" s="34"/>
      <c r="P40" s="34"/>
      <c r="Q40" s="34"/>
      <c r="R40" s="56"/>
      <c r="S40" s="34"/>
      <c r="T40" s="34"/>
      <c r="U40" s="112"/>
      <c r="V40" s="104"/>
      <c r="W40" s="104"/>
      <c r="X40" s="105"/>
      <c r="Y40" s="105"/>
      <c r="Z40" s="105"/>
      <c r="AA40" s="34"/>
      <c r="AB40" s="34"/>
      <c r="AC40" s="34"/>
      <c r="AD40" s="34"/>
      <c r="AE40" s="34"/>
      <c r="AG40" s="65"/>
      <c r="AH40" s="65"/>
      <c r="AJ40" s="184" t="s">
        <v>210</v>
      </c>
      <c r="AK40" s="184" t="s">
        <v>97</v>
      </c>
      <c r="AL40" s="184" t="s">
        <v>1430</v>
      </c>
      <c r="AM40" s="184" t="s">
        <v>1435</v>
      </c>
      <c r="AN40" s="184" t="s">
        <v>1535</v>
      </c>
      <c r="AO40" s="184">
        <v>12</v>
      </c>
    </row>
    <row r="41" spans="1:41" ht="10" x14ac:dyDescent="0.2">
      <c r="A41" s="35">
        <v>11</v>
      </c>
      <c r="B41" s="222" t="s">
        <v>2010</v>
      </c>
      <c r="C41" s="223"/>
      <c r="D41" s="77" t="s">
        <v>83</v>
      </c>
      <c r="E41" s="77"/>
      <c r="F41" s="77"/>
      <c r="G41" s="60"/>
      <c r="H41" s="36">
        <v>46327</v>
      </c>
      <c r="I41" s="59" t="s">
        <v>2009</v>
      </c>
      <c r="J41" s="60"/>
      <c r="M41" s="34"/>
      <c r="N41" s="34"/>
      <c r="O41" s="34"/>
      <c r="P41" s="34"/>
      <c r="Q41" s="34"/>
      <c r="R41" s="34"/>
      <c r="S41" s="34"/>
      <c r="T41" s="34"/>
      <c r="U41" s="112"/>
      <c r="V41" s="104"/>
      <c r="W41" s="104"/>
      <c r="X41" s="105"/>
      <c r="Y41" s="105"/>
      <c r="Z41" s="105"/>
      <c r="AA41" s="34"/>
      <c r="AB41" s="34"/>
      <c r="AC41" s="34"/>
      <c r="AD41" s="34"/>
      <c r="AE41" s="34"/>
      <c r="AG41" s="65"/>
      <c r="AH41" s="65"/>
      <c r="AJ41" s="184" t="s">
        <v>211</v>
      </c>
      <c r="AK41" s="184" t="s">
        <v>97</v>
      </c>
      <c r="AL41" s="184" t="s">
        <v>1430</v>
      </c>
      <c r="AM41" s="184" t="s">
        <v>1435</v>
      </c>
      <c r="AN41" s="184" t="s">
        <v>1535</v>
      </c>
      <c r="AO41" s="184">
        <v>12</v>
      </c>
    </row>
    <row r="42" spans="1:41" ht="10" x14ac:dyDescent="0.2">
      <c r="A42" s="35">
        <v>12</v>
      </c>
      <c r="B42" s="33" t="s">
        <v>124</v>
      </c>
      <c r="D42" s="232" t="s">
        <v>125</v>
      </c>
      <c r="E42" s="233"/>
      <c r="F42" s="233"/>
      <c r="G42" s="234"/>
      <c r="H42" s="36">
        <v>45931</v>
      </c>
      <c r="I42" s="232" t="s">
        <v>1830</v>
      </c>
      <c r="J42" s="234"/>
      <c r="M42" s="34"/>
      <c r="N42" s="34"/>
      <c r="O42" s="34"/>
      <c r="P42" s="34"/>
      <c r="Q42" s="34"/>
      <c r="R42" s="34"/>
      <c r="S42" s="34"/>
      <c r="T42" s="34"/>
      <c r="U42" s="112"/>
      <c r="V42" s="104"/>
      <c r="W42" s="104"/>
      <c r="X42" s="105"/>
      <c r="Y42" s="105"/>
      <c r="Z42" s="105"/>
      <c r="AA42" s="34"/>
      <c r="AB42" s="34"/>
      <c r="AC42" s="34"/>
      <c r="AD42" s="34"/>
      <c r="AE42" s="34"/>
      <c r="AG42" s="65"/>
      <c r="AH42" s="65"/>
      <c r="AJ42" s="184" t="s">
        <v>212</v>
      </c>
      <c r="AK42" s="184" t="s">
        <v>1389</v>
      </c>
      <c r="AL42" s="184" t="s">
        <v>1431</v>
      </c>
      <c r="AM42" s="184" t="s">
        <v>1437</v>
      </c>
      <c r="AN42" s="184" t="s">
        <v>1535</v>
      </c>
      <c r="AO42" s="184">
        <v>12</v>
      </c>
    </row>
    <row r="43" spans="1:41" ht="10" x14ac:dyDescent="0.2">
      <c r="A43" s="35">
        <v>13</v>
      </c>
      <c r="B43" s="222" t="s">
        <v>1556</v>
      </c>
      <c r="C43" s="223"/>
      <c r="D43" s="232" t="s">
        <v>1952</v>
      </c>
      <c r="E43" s="233"/>
      <c r="F43" s="233"/>
      <c r="G43" s="234"/>
      <c r="H43" s="36">
        <v>46235</v>
      </c>
      <c r="I43" s="232" t="s">
        <v>1955</v>
      </c>
      <c r="J43" s="234"/>
      <c r="M43" s="34"/>
      <c r="N43" s="34"/>
      <c r="O43" s="34"/>
      <c r="P43" s="34"/>
      <c r="Q43" s="34"/>
      <c r="R43" s="34"/>
      <c r="S43" s="34"/>
      <c r="T43" s="34"/>
      <c r="U43" s="112"/>
      <c r="V43" s="104"/>
      <c r="W43" s="104"/>
      <c r="X43" s="105"/>
      <c r="Y43" s="105"/>
      <c r="Z43" s="105"/>
      <c r="AA43" s="34"/>
      <c r="AB43" s="34"/>
      <c r="AC43" s="34"/>
      <c r="AD43" s="34"/>
      <c r="AE43" s="34"/>
      <c r="AG43" s="65"/>
      <c r="AH43" s="65"/>
      <c r="AJ43" s="184" t="s">
        <v>213</v>
      </c>
      <c r="AK43" s="184" t="s">
        <v>1390</v>
      </c>
      <c r="AL43" s="184" t="s">
        <v>1430</v>
      </c>
      <c r="AM43" s="184" t="s">
        <v>1439</v>
      </c>
      <c r="AN43" s="184" t="s">
        <v>1535</v>
      </c>
      <c r="AO43" s="184">
        <v>12</v>
      </c>
    </row>
    <row r="44" spans="1:41" ht="10" x14ac:dyDescent="0.2">
      <c r="A44" s="35">
        <v>14</v>
      </c>
      <c r="B44" s="222" t="s">
        <v>1556</v>
      </c>
      <c r="C44" s="223"/>
      <c r="D44" s="232" t="s">
        <v>1953</v>
      </c>
      <c r="E44" s="233"/>
      <c r="F44" s="233"/>
      <c r="G44" s="234"/>
      <c r="H44" s="36">
        <v>46235</v>
      </c>
      <c r="I44" s="232" t="s">
        <v>1955</v>
      </c>
      <c r="J44" s="234"/>
      <c r="M44" s="34"/>
      <c r="N44" s="34"/>
      <c r="O44" s="34"/>
      <c r="P44" s="34"/>
      <c r="Q44" s="34"/>
      <c r="R44" s="34"/>
      <c r="S44" s="34"/>
      <c r="T44" s="34"/>
      <c r="U44" s="112"/>
      <c r="V44" s="104"/>
      <c r="W44" s="104"/>
      <c r="X44" s="105"/>
      <c r="Y44" s="105"/>
      <c r="Z44" s="105"/>
      <c r="AA44" s="34"/>
      <c r="AB44" s="34"/>
      <c r="AC44" s="34"/>
      <c r="AD44" s="34"/>
      <c r="AE44" s="34"/>
      <c r="AG44" s="65"/>
      <c r="AH44" s="65"/>
      <c r="AJ44" s="184" t="s">
        <v>214</v>
      </c>
      <c r="AK44" s="184" t="s">
        <v>1390</v>
      </c>
      <c r="AL44" s="184" t="s">
        <v>1430</v>
      </c>
      <c r="AM44" s="184" t="s">
        <v>1435</v>
      </c>
      <c r="AN44" s="184" t="s">
        <v>1535</v>
      </c>
      <c r="AO44" s="184">
        <v>12</v>
      </c>
    </row>
    <row r="45" spans="1:41" ht="10" x14ac:dyDescent="0.2">
      <c r="A45" s="35">
        <v>15</v>
      </c>
      <c r="B45" s="222" t="s">
        <v>126</v>
      </c>
      <c r="C45" s="223"/>
      <c r="D45" s="232" t="s">
        <v>128</v>
      </c>
      <c r="E45" s="233"/>
      <c r="F45" s="233"/>
      <c r="G45" s="234"/>
      <c r="H45" s="36">
        <v>45291</v>
      </c>
      <c r="I45" s="232" t="s">
        <v>159</v>
      </c>
      <c r="J45" s="234"/>
      <c r="M45" s="34"/>
      <c r="N45" s="34"/>
      <c r="O45" s="34"/>
      <c r="P45" s="34"/>
      <c r="Q45" s="34"/>
      <c r="R45" s="34"/>
      <c r="S45" s="34"/>
      <c r="T45" s="34"/>
      <c r="U45" s="112"/>
      <c r="V45" s="104"/>
      <c r="W45" s="104"/>
      <c r="X45" s="105"/>
      <c r="Y45" s="105"/>
      <c r="Z45" s="105"/>
      <c r="AA45" s="34"/>
      <c r="AB45" s="34"/>
      <c r="AC45" s="34"/>
      <c r="AD45" s="34"/>
      <c r="AE45" s="34"/>
      <c r="AG45" s="65"/>
      <c r="AH45" s="65"/>
      <c r="AJ45" s="184" t="s">
        <v>215</v>
      </c>
      <c r="AK45" s="184" t="s">
        <v>1391</v>
      </c>
      <c r="AL45" s="184" t="s">
        <v>1431</v>
      </c>
      <c r="AM45" s="184" t="s">
        <v>1440</v>
      </c>
      <c r="AN45" s="184" t="s">
        <v>99</v>
      </c>
      <c r="AO45" s="184">
        <v>12</v>
      </c>
    </row>
    <row r="46" spans="1:41" ht="10" x14ac:dyDescent="0.2">
      <c r="A46" s="35">
        <v>16</v>
      </c>
      <c r="B46" s="222" t="s">
        <v>127</v>
      </c>
      <c r="C46" s="223"/>
      <c r="D46" s="232" t="s">
        <v>128</v>
      </c>
      <c r="E46" s="233"/>
      <c r="F46" s="233"/>
      <c r="G46" s="234"/>
      <c r="H46" s="36">
        <v>45291</v>
      </c>
      <c r="I46" s="232" t="s">
        <v>160</v>
      </c>
      <c r="J46" s="234"/>
      <c r="M46" s="34"/>
      <c r="N46" s="34"/>
      <c r="O46" s="34"/>
      <c r="P46" s="34"/>
      <c r="Q46" s="34"/>
      <c r="R46" s="34"/>
      <c r="S46" s="34"/>
      <c r="T46" s="34"/>
      <c r="U46" s="112"/>
      <c r="V46" s="104"/>
      <c r="W46" s="104"/>
      <c r="X46" s="105"/>
      <c r="Y46" s="105"/>
      <c r="Z46" s="105"/>
      <c r="AA46" s="34"/>
      <c r="AB46" s="34"/>
      <c r="AC46" s="34"/>
      <c r="AD46" s="34"/>
      <c r="AE46" s="34"/>
      <c r="AG46" s="65"/>
      <c r="AH46" s="65"/>
      <c r="AJ46" s="184" t="s">
        <v>216</v>
      </c>
      <c r="AK46" s="184" t="s">
        <v>83</v>
      </c>
      <c r="AL46" s="184" t="s">
        <v>1430</v>
      </c>
      <c r="AM46" s="184" t="s">
        <v>1441</v>
      </c>
      <c r="AN46" s="184" t="s">
        <v>99</v>
      </c>
      <c r="AO46" s="184">
        <v>12</v>
      </c>
    </row>
    <row r="47" spans="1:41" ht="10" x14ac:dyDescent="0.2">
      <c r="A47" s="35">
        <v>17</v>
      </c>
      <c r="B47" s="230"/>
      <c r="C47" s="230"/>
      <c r="D47" s="231"/>
      <c r="E47" s="231"/>
      <c r="F47" s="231"/>
      <c r="G47" s="231"/>
      <c r="H47" s="36"/>
      <c r="I47" s="231"/>
      <c r="J47" s="231"/>
      <c r="M47" s="34"/>
      <c r="N47" s="34"/>
      <c r="O47" s="34"/>
      <c r="P47" s="34"/>
      <c r="Q47" s="34"/>
      <c r="R47" s="34"/>
      <c r="S47" s="34"/>
      <c r="T47" s="34"/>
      <c r="U47" s="112"/>
      <c r="V47" s="104"/>
      <c r="W47" s="104"/>
      <c r="X47" s="105"/>
      <c r="Y47" s="105"/>
      <c r="Z47" s="105"/>
      <c r="AA47" s="34"/>
      <c r="AB47" s="34"/>
      <c r="AC47" s="34"/>
      <c r="AD47" s="34"/>
      <c r="AE47" s="34"/>
      <c r="AG47" s="65"/>
      <c r="AH47" s="65"/>
      <c r="AJ47" s="184" t="s">
        <v>217</v>
      </c>
      <c r="AK47" s="184" t="s">
        <v>140</v>
      </c>
      <c r="AL47" s="184" t="s">
        <v>1430</v>
      </c>
      <c r="AM47" s="184" t="s">
        <v>1442</v>
      </c>
      <c r="AN47" s="184" t="s">
        <v>1536</v>
      </c>
      <c r="AO47" s="184">
        <v>12</v>
      </c>
    </row>
    <row r="48" spans="1:41" ht="10" x14ac:dyDescent="0.2">
      <c r="H48" s="126"/>
      <c r="M48" s="34"/>
      <c r="N48" s="34"/>
      <c r="O48" s="34"/>
      <c r="P48" s="34"/>
      <c r="Q48" s="34"/>
      <c r="R48" s="34"/>
      <c r="S48" s="34"/>
      <c r="T48" s="34"/>
      <c r="U48" s="112"/>
      <c r="V48" s="104"/>
      <c r="W48" s="104"/>
      <c r="X48" s="105"/>
      <c r="Y48" s="105"/>
      <c r="Z48" s="105"/>
      <c r="AA48" s="34"/>
      <c r="AB48" s="34"/>
      <c r="AC48" s="34"/>
      <c r="AD48" s="34"/>
      <c r="AE48" s="34"/>
      <c r="AG48" s="65"/>
      <c r="AH48" s="65"/>
      <c r="AJ48" s="184" t="s">
        <v>218</v>
      </c>
      <c r="AK48" s="184" t="s">
        <v>140</v>
      </c>
      <c r="AL48" s="184" t="s">
        <v>1430</v>
      </c>
      <c r="AM48" s="184" t="s">
        <v>1442</v>
      </c>
      <c r="AN48" s="184" t="s">
        <v>1536</v>
      </c>
      <c r="AO48" s="184">
        <v>12</v>
      </c>
    </row>
    <row r="49" spans="2:41" ht="10" x14ac:dyDescent="0.2">
      <c r="H49" s="126"/>
      <c r="M49" s="34"/>
      <c r="N49" s="34"/>
      <c r="O49" s="34"/>
      <c r="P49" s="34"/>
      <c r="Q49" s="34"/>
      <c r="R49" s="34"/>
      <c r="S49" s="34"/>
      <c r="T49" s="34"/>
      <c r="U49" s="112"/>
      <c r="V49" s="104"/>
      <c r="W49" s="104"/>
      <c r="X49" s="105"/>
      <c r="Y49" s="105"/>
      <c r="Z49" s="105"/>
      <c r="AA49" s="34"/>
      <c r="AB49" s="34"/>
      <c r="AC49" s="34"/>
      <c r="AD49" s="34"/>
      <c r="AE49" s="34"/>
      <c r="AG49" s="65"/>
      <c r="AH49" s="65"/>
      <c r="AJ49" s="184" t="s">
        <v>219</v>
      </c>
      <c r="AK49" s="184" t="s">
        <v>136</v>
      </c>
      <c r="AL49" s="184" t="s">
        <v>1430</v>
      </c>
      <c r="AM49" s="184" t="s">
        <v>1443</v>
      </c>
      <c r="AN49" s="184" t="s">
        <v>1536</v>
      </c>
      <c r="AO49" s="184">
        <v>6</v>
      </c>
    </row>
    <row r="50" spans="2:41" ht="10" x14ac:dyDescent="0.2">
      <c r="H50" s="126"/>
      <c r="M50" s="34"/>
      <c r="N50" s="34"/>
      <c r="O50" s="34"/>
      <c r="P50" s="34"/>
      <c r="Q50" s="34"/>
      <c r="R50" s="34"/>
      <c r="S50" s="34"/>
      <c r="T50" s="34"/>
      <c r="U50" s="112"/>
      <c r="V50" s="104"/>
      <c r="W50" s="104"/>
      <c r="X50" s="105"/>
      <c r="Y50" s="105"/>
      <c r="Z50" s="105"/>
      <c r="AA50" s="34"/>
      <c r="AB50" s="34"/>
      <c r="AC50" s="34"/>
      <c r="AD50" s="34"/>
      <c r="AE50" s="34"/>
      <c r="AG50" s="65"/>
      <c r="AH50" s="65"/>
      <c r="AJ50" s="184" t="s">
        <v>220</v>
      </c>
      <c r="AK50" s="184" t="s">
        <v>136</v>
      </c>
      <c r="AL50" s="184" t="s">
        <v>1430</v>
      </c>
      <c r="AM50" s="184" t="s">
        <v>1443</v>
      </c>
      <c r="AN50" s="184" t="s">
        <v>1536</v>
      </c>
      <c r="AO50" s="184">
        <v>6</v>
      </c>
    </row>
    <row r="51" spans="2:41" ht="10" x14ac:dyDescent="0.2">
      <c r="H51" s="126"/>
      <c r="M51" s="34"/>
      <c r="N51" s="34"/>
      <c r="O51" s="34"/>
      <c r="P51" s="34"/>
      <c r="Q51" s="34"/>
      <c r="R51" s="34"/>
      <c r="S51" s="34"/>
      <c r="T51" s="34"/>
      <c r="U51" s="112"/>
      <c r="V51" s="104"/>
      <c r="W51" s="104"/>
      <c r="X51" s="105"/>
      <c r="Y51" s="105"/>
      <c r="Z51" s="105"/>
      <c r="AA51" s="34"/>
      <c r="AB51" s="34"/>
      <c r="AC51" s="34"/>
      <c r="AD51" s="34"/>
      <c r="AE51" s="34"/>
      <c r="AG51" s="65"/>
      <c r="AH51" s="65"/>
      <c r="AJ51" s="184" t="s">
        <v>221</v>
      </c>
      <c r="AK51" s="184" t="s">
        <v>136</v>
      </c>
      <c r="AL51" s="184" t="s">
        <v>1430</v>
      </c>
      <c r="AM51" s="184" t="s">
        <v>1442</v>
      </c>
      <c r="AN51" s="184" t="s">
        <v>1536</v>
      </c>
      <c r="AO51" s="184">
        <v>6</v>
      </c>
    </row>
    <row r="52" spans="2:41" ht="10" x14ac:dyDescent="0.2">
      <c r="H52" s="126"/>
      <c r="M52" s="34"/>
      <c r="N52" s="34"/>
      <c r="O52" s="34"/>
      <c r="P52" s="34"/>
      <c r="Q52" s="34"/>
      <c r="R52" s="34"/>
      <c r="S52" s="34"/>
      <c r="T52" s="34"/>
      <c r="U52" s="112"/>
      <c r="V52" s="104"/>
      <c r="W52" s="104"/>
      <c r="X52" s="105"/>
      <c r="Y52" s="105"/>
      <c r="Z52" s="105"/>
      <c r="AA52" s="34"/>
      <c r="AB52" s="34"/>
      <c r="AC52" s="34"/>
      <c r="AD52" s="34"/>
      <c r="AE52" s="34"/>
      <c r="AG52" s="65"/>
      <c r="AH52" s="65"/>
      <c r="AJ52" s="184" t="s">
        <v>222</v>
      </c>
      <c r="AK52" s="184" t="s">
        <v>143</v>
      </c>
      <c r="AL52" s="184" t="s">
        <v>1430</v>
      </c>
      <c r="AM52" s="184" t="s">
        <v>1443</v>
      </c>
      <c r="AN52" s="184" t="s">
        <v>1536</v>
      </c>
      <c r="AO52" s="184">
        <v>6</v>
      </c>
    </row>
    <row r="53" spans="2:41" ht="10" x14ac:dyDescent="0.2">
      <c r="B53" s="217"/>
      <c r="C53" s="217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G53" s="65"/>
      <c r="AH53" s="65"/>
      <c r="AJ53" s="184" t="s">
        <v>223</v>
      </c>
      <c r="AK53" s="184" t="s">
        <v>143</v>
      </c>
      <c r="AL53" s="184" t="s">
        <v>1430</v>
      </c>
      <c r="AM53" s="184" t="s">
        <v>1443</v>
      </c>
      <c r="AN53" s="184" t="s">
        <v>1536</v>
      </c>
      <c r="AO53" s="184">
        <v>6</v>
      </c>
    </row>
    <row r="54" spans="2:41" ht="10" x14ac:dyDescent="0.2"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G54" s="65"/>
      <c r="AH54" s="65"/>
      <c r="AJ54" s="184" t="s">
        <v>224</v>
      </c>
      <c r="AK54" s="184" t="s">
        <v>143</v>
      </c>
      <c r="AL54" s="184" t="s">
        <v>1430</v>
      </c>
      <c r="AM54" s="184" t="s">
        <v>1443</v>
      </c>
      <c r="AN54" s="184" t="s">
        <v>1536</v>
      </c>
      <c r="AO54" s="184">
        <v>6</v>
      </c>
    </row>
    <row r="55" spans="2:41" x14ac:dyDescent="0.25">
      <c r="B55" s="33" t="s">
        <v>70</v>
      </c>
      <c r="AG55" s="65"/>
      <c r="AH55" s="65"/>
      <c r="AJ55" s="184" t="s">
        <v>225</v>
      </c>
      <c r="AK55" s="184" t="s">
        <v>143</v>
      </c>
      <c r="AL55" s="184" t="s">
        <v>1430</v>
      </c>
      <c r="AM55" s="184" t="s">
        <v>1443</v>
      </c>
      <c r="AN55" s="184" t="s">
        <v>1536</v>
      </c>
      <c r="AO55" s="184">
        <v>6</v>
      </c>
    </row>
    <row r="56" spans="2:41" ht="13" x14ac:dyDescent="0.3">
      <c r="Q56" s="2"/>
      <c r="W56" s="2"/>
      <c r="AD56" s="2"/>
      <c r="AG56" s="65"/>
      <c r="AH56" s="65"/>
      <c r="AJ56" s="184" t="s">
        <v>226</v>
      </c>
      <c r="AK56" s="184" t="s">
        <v>143</v>
      </c>
      <c r="AL56" s="184" t="s">
        <v>1430</v>
      </c>
      <c r="AM56" s="184" t="s">
        <v>1443</v>
      </c>
      <c r="AN56" s="184" t="s">
        <v>1536</v>
      </c>
      <c r="AO56" s="184">
        <v>6</v>
      </c>
    </row>
    <row r="57" spans="2:41" ht="13" x14ac:dyDescent="0.3">
      <c r="Q57" s="3"/>
      <c r="W57" s="3"/>
      <c r="AD57" s="3"/>
      <c r="AG57" s="65"/>
      <c r="AH57" s="65"/>
      <c r="AJ57" s="184" t="s">
        <v>227</v>
      </c>
      <c r="AK57" s="184" t="s">
        <v>143</v>
      </c>
      <c r="AL57" s="184" t="s">
        <v>1430</v>
      </c>
      <c r="AM57" s="184" t="s">
        <v>1443</v>
      </c>
      <c r="AN57" s="184" t="s">
        <v>1536</v>
      </c>
      <c r="AO57" s="184">
        <v>6</v>
      </c>
    </row>
    <row r="58" spans="2:41" ht="13" x14ac:dyDescent="0.3">
      <c r="Q58" s="3"/>
      <c r="W58" s="3"/>
      <c r="AD58" s="3"/>
      <c r="AG58" s="65"/>
      <c r="AH58" s="65"/>
      <c r="AJ58" s="184" t="s">
        <v>228</v>
      </c>
      <c r="AK58" s="184" t="s">
        <v>143</v>
      </c>
      <c r="AL58" s="184" t="s">
        <v>1430</v>
      </c>
      <c r="AM58" s="184" t="s">
        <v>1443</v>
      </c>
      <c r="AN58" s="184" t="s">
        <v>1536</v>
      </c>
      <c r="AO58" s="184">
        <v>6</v>
      </c>
    </row>
    <row r="59" spans="2:41" x14ac:dyDescent="0.25">
      <c r="M59" s="5"/>
      <c r="N59" s="5"/>
      <c r="O59" s="7"/>
      <c r="P59" s="5"/>
      <c r="AG59" s="65"/>
      <c r="AH59" s="65"/>
      <c r="AJ59" s="184" t="s">
        <v>229</v>
      </c>
      <c r="AK59" s="184" t="s">
        <v>143</v>
      </c>
      <c r="AL59" s="184" t="s">
        <v>1430</v>
      </c>
      <c r="AM59" s="184" t="s">
        <v>1443</v>
      </c>
      <c r="AN59" s="184" t="s">
        <v>1536</v>
      </c>
      <c r="AO59" s="184">
        <v>6</v>
      </c>
    </row>
    <row r="60" spans="2:41" x14ac:dyDescent="0.25">
      <c r="M60" s="5"/>
      <c r="N60" s="5"/>
      <c r="O60" s="7"/>
      <c r="P60" s="5"/>
      <c r="T60" s="4"/>
      <c r="Z60" s="4"/>
      <c r="AG60" s="65"/>
      <c r="AH60" s="65"/>
      <c r="AJ60" s="184" t="s">
        <v>230</v>
      </c>
      <c r="AK60" s="184" t="s">
        <v>155</v>
      </c>
      <c r="AL60" s="184" t="s">
        <v>1430</v>
      </c>
      <c r="AM60" s="184" t="s">
        <v>1443</v>
      </c>
      <c r="AN60" s="184" t="s">
        <v>1536</v>
      </c>
      <c r="AO60" s="184">
        <v>12</v>
      </c>
    </row>
    <row r="61" spans="2:41" x14ac:dyDescent="0.25">
      <c r="M61" s="5"/>
      <c r="N61" s="5"/>
      <c r="O61" s="7"/>
      <c r="P61" s="5"/>
      <c r="T61" s="4"/>
      <c r="Z61" s="4"/>
      <c r="AG61" s="65"/>
      <c r="AH61" s="65"/>
      <c r="AJ61" s="184" t="s">
        <v>231</v>
      </c>
      <c r="AK61" s="184" t="s">
        <v>140</v>
      </c>
      <c r="AL61" s="184" t="s">
        <v>1430</v>
      </c>
      <c r="AM61" s="184" t="s">
        <v>1444</v>
      </c>
      <c r="AN61" s="184" t="s">
        <v>137</v>
      </c>
      <c r="AO61" s="184">
        <v>12</v>
      </c>
    </row>
    <row r="62" spans="2:41" x14ac:dyDescent="0.25">
      <c r="M62" s="5"/>
      <c r="N62" s="5"/>
      <c r="O62" s="7"/>
      <c r="P62" s="5"/>
      <c r="T62" s="4"/>
      <c r="Z62" s="4"/>
      <c r="AG62" s="65"/>
      <c r="AH62" s="65"/>
      <c r="AJ62" s="184" t="s">
        <v>232</v>
      </c>
      <c r="AK62" s="184" t="s">
        <v>140</v>
      </c>
      <c r="AL62" s="184" t="s">
        <v>1430</v>
      </c>
      <c r="AM62" s="184" t="s">
        <v>1445</v>
      </c>
      <c r="AN62" s="184" t="s">
        <v>137</v>
      </c>
      <c r="AO62" s="184">
        <v>12</v>
      </c>
    </row>
    <row r="63" spans="2:41" x14ac:dyDescent="0.25">
      <c r="N63" s="4"/>
      <c r="T63" s="4"/>
      <c r="Z63" s="4"/>
      <c r="AG63" s="65"/>
      <c r="AH63" s="65"/>
      <c r="AJ63" s="184" t="s">
        <v>233</v>
      </c>
      <c r="AK63" s="184" t="s">
        <v>140</v>
      </c>
      <c r="AL63" s="184" t="s">
        <v>1430</v>
      </c>
      <c r="AM63" s="184" t="s">
        <v>1448</v>
      </c>
      <c r="AN63" s="184" t="s">
        <v>137</v>
      </c>
      <c r="AO63" s="184">
        <v>12</v>
      </c>
    </row>
    <row r="64" spans="2:41" x14ac:dyDescent="0.25">
      <c r="N64" s="4"/>
      <c r="T64" s="4"/>
      <c r="Z64" s="4"/>
      <c r="AG64" s="65"/>
      <c r="AH64" s="65"/>
      <c r="AJ64" s="184" t="s">
        <v>234</v>
      </c>
      <c r="AK64" s="184" t="s">
        <v>140</v>
      </c>
      <c r="AL64" s="184" t="s">
        <v>1430</v>
      </c>
      <c r="AM64" s="184" t="s">
        <v>1447</v>
      </c>
      <c r="AN64" s="184" t="s">
        <v>137</v>
      </c>
      <c r="AO64" s="184">
        <v>12</v>
      </c>
    </row>
    <row r="65" spans="14:41" x14ac:dyDescent="0.25">
      <c r="N65" s="4"/>
      <c r="AG65" s="65"/>
      <c r="AH65" s="65"/>
      <c r="AJ65" s="184" t="s">
        <v>235</v>
      </c>
      <c r="AK65" s="184" t="s">
        <v>140</v>
      </c>
      <c r="AL65" s="184" t="s">
        <v>1430</v>
      </c>
      <c r="AM65" s="184" t="s">
        <v>1448</v>
      </c>
      <c r="AN65" s="184" t="s">
        <v>137</v>
      </c>
      <c r="AO65" s="184">
        <v>12</v>
      </c>
    </row>
    <row r="66" spans="14:41" x14ac:dyDescent="0.25">
      <c r="N66" s="4"/>
      <c r="AG66" s="65"/>
      <c r="AH66" s="65"/>
      <c r="AJ66" s="184" t="s">
        <v>236</v>
      </c>
      <c r="AK66" s="184" t="s">
        <v>140</v>
      </c>
      <c r="AL66" s="184" t="s">
        <v>1430</v>
      </c>
      <c r="AM66" s="184" t="s">
        <v>1448</v>
      </c>
      <c r="AN66" s="184" t="s">
        <v>137</v>
      </c>
      <c r="AO66" s="184">
        <v>12</v>
      </c>
    </row>
    <row r="67" spans="14:41" x14ac:dyDescent="0.25">
      <c r="N67" s="4"/>
      <c r="AG67" s="65"/>
      <c r="AH67" s="65"/>
      <c r="AJ67" s="184" t="s">
        <v>237</v>
      </c>
      <c r="AK67" s="184" t="s">
        <v>140</v>
      </c>
      <c r="AL67" s="184" t="s">
        <v>1430</v>
      </c>
      <c r="AM67" s="184" t="s">
        <v>1449</v>
      </c>
      <c r="AN67" s="184" t="s">
        <v>1537</v>
      </c>
      <c r="AO67" s="184">
        <v>12</v>
      </c>
    </row>
    <row r="68" spans="14:41" x14ac:dyDescent="0.25">
      <c r="N68" s="4"/>
      <c r="AG68" s="65"/>
      <c r="AH68" s="65"/>
      <c r="AJ68" s="184" t="s">
        <v>238</v>
      </c>
      <c r="AK68" s="184" t="s">
        <v>140</v>
      </c>
      <c r="AL68" s="184" t="s">
        <v>1430</v>
      </c>
      <c r="AM68" s="184" t="s">
        <v>1445</v>
      </c>
      <c r="AN68" s="184" t="s">
        <v>137</v>
      </c>
      <c r="AO68" s="184">
        <v>12</v>
      </c>
    </row>
    <row r="69" spans="14:41" x14ac:dyDescent="0.25">
      <c r="N69" s="4"/>
      <c r="AG69" s="65"/>
      <c r="AH69" s="65"/>
      <c r="AJ69" s="184" t="s">
        <v>239</v>
      </c>
      <c r="AK69" s="184" t="s">
        <v>140</v>
      </c>
      <c r="AL69" s="184" t="s">
        <v>1430</v>
      </c>
      <c r="AM69" s="184" t="s">
        <v>1450</v>
      </c>
      <c r="AN69" s="184" t="s">
        <v>137</v>
      </c>
      <c r="AO69" s="184">
        <v>12</v>
      </c>
    </row>
    <row r="70" spans="14:41" x14ac:dyDescent="0.25">
      <c r="N70" s="4"/>
      <c r="AG70" s="65"/>
      <c r="AH70" s="65"/>
      <c r="AJ70" s="184" t="s">
        <v>240</v>
      </c>
      <c r="AK70" s="184" t="s">
        <v>138</v>
      </c>
      <c r="AL70" s="184" t="s">
        <v>1430</v>
      </c>
      <c r="AM70" s="184" t="s">
        <v>1451</v>
      </c>
      <c r="AN70" s="184" t="s">
        <v>137</v>
      </c>
      <c r="AO70" s="184">
        <v>12</v>
      </c>
    </row>
    <row r="71" spans="14:41" x14ac:dyDescent="0.25">
      <c r="AG71" s="65"/>
      <c r="AH71" s="65"/>
      <c r="AJ71" s="184" t="s">
        <v>241</v>
      </c>
      <c r="AK71" s="184" t="s">
        <v>140</v>
      </c>
      <c r="AL71" s="184" t="s">
        <v>1430</v>
      </c>
      <c r="AM71" s="184" t="s">
        <v>1447</v>
      </c>
      <c r="AN71" s="184" t="s">
        <v>137</v>
      </c>
      <c r="AO71" s="184">
        <v>12</v>
      </c>
    </row>
    <row r="72" spans="14:41" x14ac:dyDescent="0.25">
      <c r="AG72" s="65"/>
      <c r="AH72" s="65"/>
      <c r="AJ72" s="184" t="s">
        <v>242</v>
      </c>
      <c r="AK72" s="184" t="s">
        <v>140</v>
      </c>
      <c r="AL72" s="184" t="s">
        <v>1430</v>
      </c>
      <c r="AM72" s="184" t="s">
        <v>1444</v>
      </c>
      <c r="AN72" s="184" t="s">
        <v>137</v>
      </c>
      <c r="AO72" s="184">
        <v>12</v>
      </c>
    </row>
    <row r="73" spans="14:41" x14ac:dyDescent="0.25">
      <c r="AG73" s="65"/>
      <c r="AH73" s="65"/>
      <c r="AJ73" s="184" t="s">
        <v>243</v>
      </c>
      <c r="AK73" s="184" t="s">
        <v>145</v>
      </c>
      <c r="AL73" s="184" t="s">
        <v>1430</v>
      </c>
      <c r="AM73" s="184" t="s">
        <v>1452</v>
      </c>
      <c r="AN73" s="184" t="s">
        <v>137</v>
      </c>
      <c r="AO73" s="184">
        <v>12</v>
      </c>
    </row>
    <row r="74" spans="14:41" x14ac:dyDescent="0.25">
      <c r="AG74" s="65"/>
      <c r="AH74" s="65"/>
      <c r="AJ74" s="184" t="s">
        <v>244</v>
      </c>
      <c r="AK74" s="184" t="s">
        <v>141</v>
      </c>
      <c r="AL74" s="184" t="s">
        <v>1430</v>
      </c>
      <c r="AM74" s="184" t="s">
        <v>1453</v>
      </c>
      <c r="AN74" s="184" t="s">
        <v>137</v>
      </c>
      <c r="AO74" s="184">
        <v>12</v>
      </c>
    </row>
    <row r="75" spans="14:41" x14ac:dyDescent="0.25">
      <c r="AG75" s="65"/>
      <c r="AH75" s="65"/>
      <c r="AJ75" s="184" t="s">
        <v>245</v>
      </c>
      <c r="AK75" s="184" t="s">
        <v>141</v>
      </c>
      <c r="AL75" s="184" t="s">
        <v>1430</v>
      </c>
      <c r="AM75" s="184" t="s">
        <v>1444</v>
      </c>
      <c r="AN75" s="184" t="s">
        <v>137</v>
      </c>
      <c r="AO75" s="184">
        <v>12</v>
      </c>
    </row>
    <row r="76" spans="14:41" x14ac:dyDescent="0.25">
      <c r="AG76" s="65"/>
      <c r="AH76" s="65"/>
      <c r="AJ76" s="184" t="s">
        <v>246</v>
      </c>
      <c r="AK76" s="184" t="s">
        <v>158</v>
      </c>
      <c r="AL76" s="184" t="s">
        <v>1430</v>
      </c>
      <c r="AM76" s="184" t="s">
        <v>1444</v>
      </c>
      <c r="AN76" s="184" t="s">
        <v>137</v>
      </c>
      <c r="AO76" s="184">
        <v>12</v>
      </c>
    </row>
    <row r="77" spans="14:41" x14ac:dyDescent="0.25">
      <c r="AG77" s="65"/>
      <c r="AH77" s="65"/>
      <c r="AJ77" s="184" t="s">
        <v>247</v>
      </c>
      <c r="AK77" s="184" t="s">
        <v>141</v>
      </c>
      <c r="AL77" s="184" t="s">
        <v>1430</v>
      </c>
      <c r="AM77" s="184" t="s">
        <v>1444</v>
      </c>
      <c r="AN77" s="184" t="s">
        <v>137</v>
      </c>
      <c r="AO77" s="184">
        <v>12</v>
      </c>
    </row>
    <row r="78" spans="14:41" x14ac:dyDescent="0.25">
      <c r="AG78" s="65"/>
      <c r="AH78" s="65"/>
      <c r="AJ78" s="184" t="s">
        <v>248</v>
      </c>
      <c r="AK78" s="184" t="s">
        <v>136</v>
      </c>
      <c r="AL78" s="184" t="s">
        <v>1430</v>
      </c>
      <c r="AM78" s="184" t="s">
        <v>1452</v>
      </c>
      <c r="AN78" s="184" t="s">
        <v>137</v>
      </c>
      <c r="AO78" s="184">
        <v>6</v>
      </c>
    </row>
    <row r="79" spans="14:41" x14ac:dyDescent="0.25">
      <c r="AG79" s="65"/>
      <c r="AH79" s="65"/>
      <c r="AJ79" s="184" t="s">
        <v>249</v>
      </c>
      <c r="AK79" s="184" t="s">
        <v>136</v>
      </c>
      <c r="AL79" s="184" t="s">
        <v>1430</v>
      </c>
      <c r="AM79" s="184" t="s">
        <v>1454</v>
      </c>
      <c r="AN79" s="184" t="s">
        <v>137</v>
      </c>
      <c r="AO79" s="184">
        <v>6</v>
      </c>
    </row>
    <row r="80" spans="14:41" x14ac:dyDescent="0.25">
      <c r="AG80" s="65"/>
      <c r="AH80" s="65"/>
      <c r="AJ80" s="184" t="s">
        <v>250</v>
      </c>
      <c r="AK80" s="184" t="s">
        <v>136</v>
      </c>
      <c r="AL80" s="184" t="s">
        <v>1430</v>
      </c>
      <c r="AM80" s="184" t="s">
        <v>1455</v>
      </c>
      <c r="AN80" s="184" t="s">
        <v>137</v>
      </c>
      <c r="AO80" s="184">
        <v>6</v>
      </c>
    </row>
    <row r="81" spans="33:41" x14ac:dyDescent="0.25">
      <c r="AG81" s="65"/>
      <c r="AH81" s="65"/>
      <c r="AJ81" s="184" t="s">
        <v>251</v>
      </c>
      <c r="AK81" s="184" t="s">
        <v>136</v>
      </c>
      <c r="AL81" s="184" t="s">
        <v>1430</v>
      </c>
      <c r="AM81" s="184" t="s">
        <v>1456</v>
      </c>
      <c r="AN81" s="184" t="s">
        <v>137</v>
      </c>
      <c r="AO81" s="184">
        <v>6</v>
      </c>
    </row>
    <row r="82" spans="33:41" x14ac:dyDescent="0.25">
      <c r="AG82" s="65"/>
      <c r="AH82" s="65"/>
      <c r="AJ82" s="184" t="s">
        <v>252</v>
      </c>
      <c r="AK82" s="184" t="s">
        <v>136</v>
      </c>
      <c r="AL82" s="184" t="s">
        <v>1430</v>
      </c>
      <c r="AM82" s="184" t="s">
        <v>1457</v>
      </c>
      <c r="AN82" s="184" t="s">
        <v>137</v>
      </c>
      <c r="AO82" s="184">
        <v>6</v>
      </c>
    </row>
    <row r="83" spans="33:41" x14ac:dyDescent="0.25">
      <c r="AG83" s="65"/>
      <c r="AH83" s="65"/>
      <c r="AJ83" s="184" t="s">
        <v>253</v>
      </c>
      <c r="AK83" s="184" t="s">
        <v>136</v>
      </c>
      <c r="AL83" s="184" t="s">
        <v>1430</v>
      </c>
      <c r="AM83" s="184" t="s">
        <v>1458</v>
      </c>
      <c r="AN83" s="184" t="s">
        <v>137</v>
      </c>
      <c r="AO83" s="184">
        <v>6</v>
      </c>
    </row>
    <row r="84" spans="33:41" x14ac:dyDescent="0.25">
      <c r="AG84" s="65"/>
      <c r="AH84" s="65"/>
      <c r="AJ84" s="184" t="s">
        <v>254</v>
      </c>
      <c r="AK84" s="184" t="s">
        <v>136</v>
      </c>
      <c r="AL84" s="184" t="s">
        <v>1430</v>
      </c>
      <c r="AM84" s="184" t="s">
        <v>1459</v>
      </c>
      <c r="AN84" s="184" t="s">
        <v>137</v>
      </c>
      <c r="AO84" s="184">
        <v>6</v>
      </c>
    </row>
    <row r="85" spans="33:41" x14ac:dyDescent="0.25">
      <c r="AG85" s="65"/>
      <c r="AH85" s="65"/>
      <c r="AJ85" s="184" t="s">
        <v>255</v>
      </c>
      <c r="AK85" s="184" t="s">
        <v>136</v>
      </c>
      <c r="AL85" s="184" t="s">
        <v>1430</v>
      </c>
      <c r="AM85" s="184" t="s">
        <v>1460</v>
      </c>
      <c r="AN85" s="184" t="s">
        <v>137</v>
      </c>
      <c r="AO85" s="184">
        <v>6</v>
      </c>
    </row>
    <row r="86" spans="33:41" x14ac:dyDescent="0.25">
      <c r="AG86" s="65"/>
      <c r="AH86" s="65"/>
      <c r="AJ86" s="184" t="s">
        <v>256</v>
      </c>
      <c r="AK86" s="184" t="s">
        <v>136</v>
      </c>
      <c r="AL86" s="184" t="s">
        <v>1430</v>
      </c>
      <c r="AM86" s="184" t="s">
        <v>1447</v>
      </c>
      <c r="AN86" s="184" t="s">
        <v>137</v>
      </c>
      <c r="AO86" s="184">
        <v>6</v>
      </c>
    </row>
    <row r="87" spans="33:41" x14ac:dyDescent="0.25">
      <c r="AG87" s="65"/>
      <c r="AH87" s="65"/>
      <c r="AJ87" s="184" t="s">
        <v>257</v>
      </c>
      <c r="AK87" s="184" t="s">
        <v>136</v>
      </c>
      <c r="AL87" s="184" t="s">
        <v>1430</v>
      </c>
      <c r="AM87" s="184" t="s">
        <v>1449</v>
      </c>
      <c r="AN87" s="184" t="s">
        <v>1537</v>
      </c>
      <c r="AO87" s="184">
        <v>6</v>
      </c>
    </row>
    <row r="88" spans="33:41" x14ac:dyDescent="0.25">
      <c r="AG88" s="65"/>
      <c r="AH88" s="65"/>
      <c r="AJ88" s="184" t="s">
        <v>258</v>
      </c>
      <c r="AK88" s="184" t="s">
        <v>136</v>
      </c>
      <c r="AL88" s="184" t="s">
        <v>1430</v>
      </c>
      <c r="AM88" s="184" t="s">
        <v>1451</v>
      </c>
      <c r="AN88" s="184" t="s">
        <v>137</v>
      </c>
      <c r="AO88" s="184">
        <v>6</v>
      </c>
    </row>
    <row r="89" spans="33:41" x14ac:dyDescent="0.25">
      <c r="AG89" s="65"/>
      <c r="AH89" s="65"/>
      <c r="AJ89" s="184" t="s">
        <v>259</v>
      </c>
      <c r="AK89" s="184" t="s">
        <v>136</v>
      </c>
      <c r="AL89" s="184" t="s">
        <v>1430</v>
      </c>
      <c r="AM89" s="184" t="s">
        <v>1461</v>
      </c>
      <c r="AN89" s="184" t="s">
        <v>137</v>
      </c>
      <c r="AO89" s="184">
        <v>6</v>
      </c>
    </row>
    <row r="90" spans="33:41" x14ac:dyDescent="0.25">
      <c r="AG90" s="65"/>
      <c r="AH90" s="65"/>
      <c r="AJ90" s="184" t="s">
        <v>260</v>
      </c>
      <c r="AK90" s="184" t="s">
        <v>136</v>
      </c>
      <c r="AL90" s="184" t="s">
        <v>1430</v>
      </c>
      <c r="AM90" s="184" t="s">
        <v>1462</v>
      </c>
      <c r="AN90" s="184" t="s">
        <v>137</v>
      </c>
      <c r="AO90" s="184">
        <v>6</v>
      </c>
    </row>
    <row r="91" spans="33:41" x14ac:dyDescent="0.25">
      <c r="AG91" s="65"/>
      <c r="AH91" s="65"/>
      <c r="AJ91" s="184" t="s">
        <v>261</v>
      </c>
      <c r="AK91" s="184" t="s">
        <v>136</v>
      </c>
      <c r="AL91" s="184" t="s">
        <v>1430</v>
      </c>
      <c r="AM91" s="184" t="s">
        <v>1463</v>
      </c>
      <c r="AN91" s="184" t="s">
        <v>137</v>
      </c>
      <c r="AO91" s="184">
        <v>6</v>
      </c>
    </row>
    <row r="92" spans="33:41" x14ac:dyDescent="0.25">
      <c r="AG92" s="65"/>
      <c r="AH92" s="65"/>
      <c r="AJ92" s="184" t="s">
        <v>262</v>
      </c>
      <c r="AK92" s="184" t="s">
        <v>136</v>
      </c>
      <c r="AL92" s="184" t="s">
        <v>1430</v>
      </c>
      <c r="AM92" s="184" t="s">
        <v>1444</v>
      </c>
      <c r="AN92" s="184" t="s">
        <v>137</v>
      </c>
      <c r="AO92" s="184">
        <v>6</v>
      </c>
    </row>
    <row r="93" spans="33:41" x14ac:dyDescent="0.25">
      <c r="AG93" s="65"/>
      <c r="AH93" s="65"/>
      <c r="AJ93" s="184" t="s">
        <v>263</v>
      </c>
      <c r="AK93" s="184" t="s">
        <v>136</v>
      </c>
      <c r="AL93" s="184" t="s">
        <v>1430</v>
      </c>
      <c r="AM93" s="184" t="s">
        <v>1450</v>
      </c>
      <c r="AN93" s="184" t="s">
        <v>137</v>
      </c>
      <c r="AO93" s="184">
        <v>6</v>
      </c>
    </row>
    <row r="94" spans="33:41" x14ac:dyDescent="0.25">
      <c r="AG94" s="65"/>
      <c r="AH94" s="65"/>
      <c r="AJ94" s="184" t="s">
        <v>264</v>
      </c>
      <c r="AK94" s="184" t="s">
        <v>136</v>
      </c>
      <c r="AL94" s="184" t="s">
        <v>1430</v>
      </c>
      <c r="AM94" s="184" t="s">
        <v>1464</v>
      </c>
      <c r="AN94" s="184" t="s">
        <v>137</v>
      </c>
      <c r="AO94" s="184">
        <v>6</v>
      </c>
    </row>
    <row r="95" spans="33:41" x14ac:dyDescent="0.25">
      <c r="AG95" s="65"/>
      <c r="AH95" s="65"/>
      <c r="AJ95" s="184" t="s">
        <v>265</v>
      </c>
      <c r="AK95" s="184" t="s">
        <v>136</v>
      </c>
      <c r="AL95" s="184" t="s">
        <v>1430</v>
      </c>
      <c r="AM95" s="184" t="s">
        <v>1465</v>
      </c>
      <c r="AN95" s="184" t="s">
        <v>137</v>
      </c>
      <c r="AO95" s="184">
        <v>6</v>
      </c>
    </row>
    <row r="96" spans="33:41" x14ac:dyDescent="0.25">
      <c r="AG96" s="65"/>
      <c r="AH96" s="65"/>
      <c r="AJ96" s="184" t="s">
        <v>266</v>
      </c>
      <c r="AK96" s="184" t="s">
        <v>136</v>
      </c>
      <c r="AL96" s="184" t="s">
        <v>1430</v>
      </c>
      <c r="AM96" s="184" t="s">
        <v>1466</v>
      </c>
      <c r="AN96" s="184" t="s">
        <v>137</v>
      </c>
      <c r="AO96" s="184">
        <v>6</v>
      </c>
    </row>
    <row r="97" spans="33:41" x14ac:dyDescent="0.25">
      <c r="AG97" s="65"/>
      <c r="AH97" s="65"/>
      <c r="AJ97" s="184" t="s">
        <v>267</v>
      </c>
      <c r="AK97" s="184" t="s">
        <v>136</v>
      </c>
      <c r="AL97" s="184" t="s">
        <v>1430</v>
      </c>
      <c r="AM97" s="184" t="s">
        <v>1453</v>
      </c>
      <c r="AN97" s="184" t="s">
        <v>137</v>
      </c>
      <c r="AO97" s="184">
        <v>6</v>
      </c>
    </row>
    <row r="98" spans="33:41" x14ac:dyDescent="0.25">
      <c r="AG98" s="65"/>
      <c r="AH98" s="65"/>
      <c r="AJ98" s="184" t="s">
        <v>268</v>
      </c>
      <c r="AK98" s="184" t="s">
        <v>136</v>
      </c>
      <c r="AL98" s="184" t="s">
        <v>1430</v>
      </c>
      <c r="AM98" s="184" t="s">
        <v>1467</v>
      </c>
      <c r="AN98" s="184" t="s">
        <v>137</v>
      </c>
      <c r="AO98" s="184">
        <v>6</v>
      </c>
    </row>
    <row r="99" spans="33:41" x14ac:dyDescent="0.25">
      <c r="AG99" s="65"/>
      <c r="AH99" s="65"/>
      <c r="AJ99" s="184" t="s">
        <v>269</v>
      </c>
      <c r="AK99" s="184" t="s">
        <v>136</v>
      </c>
      <c r="AL99" s="184" t="s">
        <v>1430</v>
      </c>
      <c r="AM99" s="184" t="s">
        <v>1468</v>
      </c>
      <c r="AN99" s="184" t="s">
        <v>1537</v>
      </c>
      <c r="AO99" s="184">
        <v>6</v>
      </c>
    </row>
    <row r="100" spans="33:41" x14ac:dyDescent="0.25">
      <c r="AG100" s="65"/>
      <c r="AH100" s="65"/>
      <c r="AJ100" s="184" t="s">
        <v>270</v>
      </c>
      <c r="AK100" s="184" t="s">
        <v>136</v>
      </c>
      <c r="AL100" s="184" t="s">
        <v>1430</v>
      </c>
      <c r="AM100" s="184" t="s">
        <v>1446</v>
      </c>
      <c r="AN100" s="184" t="s">
        <v>137</v>
      </c>
      <c r="AO100" s="184">
        <v>6</v>
      </c>
    </row>
    <row r="101" spans="33:41" x14ac:dyDescent="0.25">
      <c r="AG101" s="65"/>
      <c r="AH101" s="65"/>
      <c r="AJ101" s="184" t="s">
        <v>271</v>
      </c>
      <c r="AK101" s="184" t="s">
        <v>136</v>
      </c>
      <c r="AL101" s="184" t="s">
        <v>1430</v>
      </c>
      <c r="AM101" s="184" t="s">
        <v>1469</v>
      </c>
      <c r="AN101" s="184" t="s">
        <v>137</v>
      </c>
      <c r="AO101" s="184">
        <v>6</v>
      </c>
    </row>
    <row r="102" spans="33:41" x14ac:dyDescent="0.25">
      <c r="AG102" s="65"/>
      <c r="AH102" s="65"/>
      <c r="AJ102" s="184" t="s">
        <v>272</v>
      </c>
      <c r="AK102" s="184" t="s">
        <v>136</v>
      </c>
      <c r="AL102" s="184" t="s">
        <v>1430</v>
      </c>
      <c r="AM102" s="184" t="s">
        <v>1470</v>
      </c>
      <c r="AN102" s="184" t="s">
        <v>137</v>
      </c>
      <c r="AO102" s="184">
        <v>6</v>
      </c>
    </row>
    <row r="103" spans="33:41" x14ac:dyDescent="0.25">
      <c r="AG103" s="65"/>
      <c r="AH103" s="65"/>
      <c r="AJ103" s="184" t="s">
        <v>273</v>
      </c>
      <c r="AK103" s="184" t="s">
        <v>136</v>
      </c>
      <c r="AL103" s="184" t="s">
        <v>1430</v>
      </c>
      <c r="AM103" s="184" t="s">
        <v>1445</v>
      </c>
      <c r="AN103" s="184" t="s">
        <v>137</v>
      </c>
      <c r="AO103" s="184">
        <v>6</v>
      </c>
    </row>
    <row r="104" spans="33:41" x14ac:dyDescent="0.25">
      <c r="AG104" s="65"/>
      <c r="AH104" s="65"/>
      <c r="AJ104" s="184" t="s">
        <v>274</v>
      </c>
      <c r="AK104" s="184" t="s">
        <v>156</v>
      </c>
      <c r="AL104" s="184" t="s">
        <v>1430</v>
      </c>
      <c r="AM104" s="184" t="s">
        <v>1471</v>
      </c>
      <c r="AN104" s="184" t="s">
        <v>1471</v>
      </c>
      <c r="AO104" s="184">
        <v>12</v>
      </c>
    </row>
    <row r="105" spans="33:41" x14ac:dyDescent="0.25">
      <c r="AG105" s="65"/>
      <c r="AH105" s="65"/>
      <c r="AJ105" s="184" t="s">
        <v>275</v>
      </c>
      <c r="AK105" s="184" t="s">
        <v>136</v>
      </c>
      <c r="AL105" s="184" t="s">
        <v>1430</v>
      </c>
      <c r="AM105" s="184" t="s">
        <v>59</v>
      </c>
      <c r="AN105" s="184" t="s">
        <v>1537</v>
      </c>
      <c r="AO105" s="184">
        <v>6</v>
      </c>
    </row>
    <row r="106" spans="33:41" x14ac:dyDescent="0.25">
      <c r="AG106" s="65"/>
      <c r="AH106" s="65"/>
      <c r="AJ106" s="184" t="s">
        <v>276</v>
      </c>
      <c r="AK106" s="184" t="s">
        <v>136</v>
      </c>
      <c r="AL106" s="184" t="s">
        <v>1430</v>
      </c>
      <c r="AM106" s="184" t="s">
        <v>59</v>
      </c>
      <c r="AN106" s="184" t="s">
        <v>1537</v>
      </c>
      <c r="AO106" s="184">
        <v>6</v>
      </c>
    </row>
    <row r="107" spans="33:41" x14ac:dyDescent="0.25">
      <c r="AG107" s="65"/>
      <c r="AH107" s="65"/>
      <c r="AJ107" s="184" t="s">
        <v>277</v>
      </c>
      <c r="AK107" s="184" t="s">
        <v>156</v>
      </c>
      <c r="AL107" s="184" t="s">
        <v>1430</v>
      </c>
      <c r="AM107" s="184" t="s">
        <v>1471</v>
      </c>
      <c r="AN107" s="184" t="s">
        <v>1471</v>
      </c>
      <c r="AO107" s="184">
        <v>12</v>
      </c>
    </row>
    <row r="108" spans="33:41" x14ac:dyDescent="0.25">
      <c r="AG108" s="65"/>
      <c r="AH108" s="65"/>
      <c r="AJ108" s="184" t="s">
        <v>278</v>
      </c>
      <c r="AK108" s="184" t="s">
        <v>136</v>
      </c>
      <c r="AL108" s="184" t="s">
        <v>1430</v>
      </c>
      <c r="AM108" s="184" t="s">
        <v>1472</v>
      </c>
      <c r="AN108" s="184" t="s">
        <v>137</v>
      </c>
      <c r="AO108" s="184">
        <v>6</v>
      </c>
    </row>
    <row r="109" spans="33:41" x14ac:dyDescent="0.25">
      <c r="AG109" s="65"/>
      <c r="AH109" s="65"/>
      <c r="AJ109" s="184" t="s">
        <v>279</v>
      </c>
      <c r="AK109" s="184" t="s">
        <v>132</v>
      </c>
      <c r="AL109" s="184" t="s">
        <v>1430</v>
      </c>
      <c r="AM109" s="184" t="s">
        <v>1467</v>
      </c>
      <c r="AN109" s="184" t="s">
        <v>137</v>
      </c>
      <c r="AO109" s="184">
        <v>12</v>
      </c>
    </row>
    <row r="110" spans="33:41" x14ac:dyDescent="0.25">
      <c r="AG110" s="65"/>
      <c r="AH110" s="65"/>
      <c r="AJ110" s="184" t="s">
        <v>280</v>
      </c>
      <c r="AK110" s="184" t="s">
        <v>132</v>
      </c>
      <c r="AL110" s="184" t="s">
        <v>1430</v>
      </c>
      <c r="AM110" s="184" t="s">
        <v>1450</v>
      </c>
      <c r="AN110" s="184" t="s">
        <v>137</v>
      </c>
      <c r="AO110" s="184">
        <v>12</v>
      </c>
    </row>
    <row r="111" spans="33:41" x14ac:dyDescent="0.25">
      <c r="AG111" s="65"/>
      <c r="AH111" s="65"/>
      <c r="AJ111" s="184" t="s">
        <v>281</v>
      </c>
      <c r="AK111" s="184" t="s">
        <v>132</v>
      </c>
      <c r="AL111" s="184" t="s">
        <v>1430</v>
      </c>
      <c r="AM111" s="184" t="s">
        <v>1450</v>
      </c>
      <c r="AN111" s="184" t="s">
        <v>137</v>
      </c>
      <c r="AO111" s="184">
        <v>12</v>
      </c>
    </row>
    <row r="112" spans="33:41" x14ac:dyDescent="0.25">
      <c r="AG112" s="65"/>
      <c r="AH112" s="65"/>
      <c r="AJ112" s="184" t="s">
        <v>282</v>
      </c>
      <c r="AK112" s="184" t="s">
        <v>132</v>
      </c>
      <c r="AL112" s="184" t="s">
        <v>1430</v>
      </c>
      <c r="AM112" s="184" t="s">
        <v>1467</v>
      </c>
      <c r="AN112" s="184" t="s">
        <v>137</v>
      </c>
      <c r="AO112" s="184">
        <v>12</v>
      </c>
    </row>
    <row r="113" spans="33:41" x14ac:dyDescent="0.25">
      <c r="AG113" s="65"/>
      <c r="AH113" s="65"/>
      <c r="AJ113" s="184" t="s">
        <v>283</v>
      </c>
      <c r="AK113" s="184" t="s">
        <v>132</v>
      </c>
      <c r="AL113" s="184" t="s">
        <v>1430</v>
      </c>
      <c r="AM113" s="184" t="s">
        <v>1467</v>
      </c>
      <c r="AN113" s="184" t="s">
        <v>137</v>
      </c>
      <c r="AO113" s="184">
        <v>12</v>
      </c>
    </row>
    <row r="114" spans="33:41" x14ac:dyDescent="0.25">
      <c r="AG114" s="65"/>
      <c r="AH114" s="65"/>
      <c r="AJ114" s="184" t="s">
        <v>284</v>
      </c>
      <c r="AK114" s="184" t="s">
        <v>132</v>
      </c>
      <c r="AL114" s="184" t="s">
        <v>1430</v>
      </c>
      <c r="AM114" s="184" t="s">
        <v>1467</v>
      </c>
      <c r="AN114" s="184" t="s">
        <v>137</v>
      </c>
      <c r="AO114" s="184">
        <v>12</v>
      </c>
    </row>
    <row r="115" spans="33:41" x14ac:dyDescent="0.25">
      <c r="AG115" s="65"/>
      <c r="AH115" s="65"/>
      <c r="AJ115" s="184" t="s">
        <v>285</v>
      </c>
      <c r="AK115" s="184" t="s">
        <v>132</v>
      </c>
      <c r="AL115" s="184" t="s">
        <v>1430</v>
      </c>
      <c r="AM115" s="184" t="s">
        <v>1450</v>
      </c>
      <c r="AN115" s="184" t="s">
        <v>137</v>
      </c>
      <c r="AO115" s="184">
        <v>12</v>
      </c>
    </row>
    <row r="116" spans="33:41" x14ac:dyDescent="0.25">
      <c r="AG116" s="65"/>
      <c r="AH116" s="65"/>
      <c r="AJ116" s="184" t="s">
        <v>286</v>
      </c>
      <c r="AK116" s="184" t="s">
        <v>135</v>
      </c>
      <c r="AL116" s="184" t="s">
        <v>1430</v>
      </c>
      <c r="AM116" s="184" t="s">
        <v>1473</v>
      </c>
      <c r="AN116" s="184" t="s">
        <v>137</v>
      </c>
      <c r="AO116" s="184">
        <v>12</v>
      </c>
    </row>
    <row r="117" spans="33:41" x14ac:dyDescent="0.25">
      <c r="AG117" s="65"/>
      <c r="AH117" s="65"/>
      <c r="AJ117" s="184" t="s">
        <v>287</v>
      </c>
      <c r="AK117" s="184" t="s">
        <v>135</v>
      </c>
      <c r="AL117" s="184" t="s">
        <v>1430</v>
      </c>
      <c r="AM117" s="184" t="s">
        <v>1473</v>
      </c>
      <c r="AN117" s="184" t="s">
        <v>137</v>
      </c>
      <c r="AO117" s="184">
        <v>12</v>
      </c>
    </row>
    <row r="118" spans="33:41" x14ac:dyDescent="0.25">
      <c r="AG118" s="65"/>
      <c r="AH118" s="65"/>
      <c r="AJ118" s="184" t="s">
        <v>288</v>
      </c>
      <c r="AK118" s="184" t="s">
        <v>135</v>
      </c>
      <c r="AL118" s="184" t="s">
        <v>1430</v>
      </c>
      <c r="AM118" s="184" t="s">
        <v>1473</v>
      </c>
      <c r="AN118" s="184" t="s">
        <v>137</v>
      </c>
      <c r="AO118" s="184">
        <v>12</v>
      </c>
    </row>
    <row r="119" spans="33:41" x14ac:dyDescent="0.25">
      <c r="AG119" s="65"/>
      <c r="AH119" s="65"/>
      <c r="AJ119" s="184" t="s">
        <v>289</v>
      </c>
      <c r="AK119" s="184" t="s">
        <v>135</v>
      </c>
      <c r="AL119" s="184" t="s">
        <v>1430</v>
      </c>
      <c r="AM119" s="184" t="s">
        <v>1473</v>
      </c>
      <c r="AN119" s="184" t="s">
        <v>137</v>
      </c>
      <c r="AO119" s="184">
        <v>12</v>
      </c>
    </row>
    <row r="120" spans="33:41" x14ac:dyDescent="0.25">
      <c r="AG120" s="65"/>
      <c r="AH120" s="65"/>
      <c r="AJ120" s="184" t="s">
        <v>290</v>
      </c>
      <c r="AK120" s="184" t="s">
        <v>135</v>
      </c>
      <c r="AL120" s="184" t="s">
        <v>1430</v>
      </c>
      <c r="AM120" s="184" t="s">
        <v>1473</v>
      </c>
      <c r="AN120" s="184" t="s">
        <v>137</v>
      </c>
      <c r="AO120" s="184">
        <v>12</v>
      </c>
    </row>
    <row r="121" spans="33:41" x14ac:dyDescent="0.25">
      <c r="AG121" s="65"/>
      <c r="AH121" s="65"/>
      <c r="AJ121" s="184" t="s">
        <v>291</v>
      </c>
      <c r="AK121" s="184" t="s">
        <v>135</v>
      </c>
      <c r="AL121" s="184" t="s">
        <v>1430</v>
      </c>
      <c r="AM121" s="184" t="s">
        <v>1463</v>
      </c>
      <c r="AN121" s="184" t="s">
        <v>137</v>
      </c>
      <c r="AO121" s="184">
        <v>12</v>
      </c>
    </row>
    <row r="122" spans="33:41" x14ac:dyDescent="0.25">
      <c r="AG122" s="65"/>
      <c r="AH122" s="65"/>
      <c r="AJ122" s="184" t="s">
        <v>292</v>
      </c>
      <c r="AK122" s="184" t="s">
        <v>135</v>
      </c>
      <c r="AL122" s="184" t="s">
        <v>1430</v>
      </c>
      <c r="AM122" s="184" t="s">
        <v>1454</v>
      </c>
      <c r="AN122" s="184" t="s">
        <v>137</v>
      </c>
      <c r="AO122" s="184">
        <v>12</v>
      </c>
    </row>
    <row r="123" spans="33:41" x14ac:dyDescent="0.25">
      <c r="AG123" s="65"/>
      <c r="AH123" s="65"/>
      <c r="AJ123" s="184" t="s">
        <v>293</v>
      </c>
      <c r="AK123" s="184" t="s">
        <v>135</v>
      </c>
      <c r="AL123" s="184" t="s">
        <v>1430</v>
      </c>
      <c r="AM123" s="184" t="s">
        <v>1454</v>
      </c>
      <c r="AN123" s="184" t="s">
        <v>137</v>
      </c>
      <c r="AO123" s="184">
        <v>12</v>
      </c>
    </row>
    <row r="124" spans="33:41" x14ac:dyDescent="0.25">
      <c r="AG124" s="65"/>
      <c r="AH124" s="65"/>
      <c r="AJ124" s="184" t="s">
        <v>294</v>
      </c>
      <c r="AK124" s="184" t="s">
        <v>135</v>
      </c>
      <c r="AL124" s="184" t="s">
        <v>1430</v>
      </c>
      <c r="AM124" s="184" t="s">
        <v>1454</v>
      </c>
      <c r="AN124" s="184" t="s">
        <v>137</v>
      </c>
      <c r="AO124" s="184">
        <v>12</v>
      </c>
    </row>
    <row r="125" spans="33:41" x14ac:dyDescent="0.25">
      <c r="AG125" s="65"/>
      <c r="AH125" s="65"/>
      <c r="AJ125" s="184" t="s">
        <v>295</v>
      </c>
      <c r="AK125" s="184" t="s">
        <v>135</v>
      </c>
      <c r="AL125" s="184" t="s">
        <v>1430</v>
      </c>
      <c r="AM125" s="184" t="s">
        <v>1454</v>
      </c>
      <c r="AN125" s="184" t="s">
        <v>137</v>
      </c>
      <c r="AO125" s="184">
        <v>12</v>
      </c>
    </row>
    <row r="126" spans="33:41" x14ac:dyDescent="0.25">
      <c r="AG126" s="65"/>
      <c r="AH126" s="65"/>
      <c r="AJ126" s="184" t="s">
        <v>296</v>
      </c>
      <c r="AK126" s="184" t="s">
        <v>135</v>
      </c>
      <c r="AL126" s="184" t="s">
        <v>1430</v>
      </c>
      <c r="AM126" s="184" t="s">
        <v>1444</v>
      </c>
      <c r="AN126" s="184" t="s">
        <v>137</v>
      </c>
      <c r="AO126" s="184">
        <v>12</v>
      </c>
    </row>
    <row r="127" spans="33:41" x14ac:dyDescent="0.25">
      <c r="AG127" s="65"/>
      <c r="AH127" s="65"/>
      <c r="AJ127" s="184" t="s">
        <v>297</v>
      </c>
      <c r="AK127" s="184" t="s">
        <v>135</v>
      </c>
      <c r="AL127" s="184" t="s">
        <v>1430</v>
      </c>
      <c r="AM127" s="184" t="s">
        <v>1444</v>
      </c>
      <c r="AN127" s="184" t="s">
        <v>137</v>
      </c>
      <c r="AO127" s="184">
        <v>12</v>
      </c>
    </row>
    <row r="128" spans="33:41" x14ac:dyDescent="0.25">
      <c r="AG128" s="65"/>
      <c r="AH128" s="65"/>
      <c r="AJ128" s="184" t="s">
        <v>298</v>
      </c>
      <c r="AK128" s="184" t="s">
        <v>135</v>
      </c>
      <c r="AL128" s="184" t="s">
        <v>1430</v>
      </c>
      <c r="AM128" s="184" t="s">
        <v>1473</v>
      </c>
      <c r="AN128" s="184" t="s">
        <v>137</v>
      </c>
      <c r="AO128" s="184">
        <v>12</v>
      </c>
    </row>
    <row r="129" spans="33:41" x14ac:dyDescent="0.25">
      <c r="AG129" s="65"/>
      <c r="AH129" s="65"/>
      <c r="AJ129" s="184" t="s">
        <v>299</v>
      </c>
      <c r="AK129" s="184" t="s">
        <v>135</v>
      </c>
      <c r="AL129" s="184" t="s">
        <v>1430</v>
      </c>
      <c r="AM129" s="184" t="s">
        <v>1455</v>
      </c>
      <c r="AN129" s="184" t="s">
        <v>137</v>
      </c>
      <c r="AO129" s="184">
        <v>12</v>
      </c>
    </row>
    <row r="130" spans="33:41" x14ac:dyDescent="0.25">
      <c r="AG130" s="65"/>
      <c r="AH130" s="65"/>
      <c r="AJ130" s="184" t="s">
        <v>300</v>
      </c>
      <c r="AK130" s="184" t="s">
        <v>135</v>
      </c>
      <c r="AL130" s="184" t="s">
        <v>1430</v>
      </c>
      <c r="AM130" s="184" t="s">
        <v>1444</v>
      </c>
      <c r="AN130" s="184" t="s">
        <v>137</v>
      </c>
      <c r="AO130" s="184">
        <v>12</v>
      </c>
    </row>
    <row r="131" spans="33:41" x14ac:dyDescent="0.25">
      <c r="AG131" s="65"/>
      <c r="AH131" s="65"/>
      <c r="AJ131" s="184" t="s">
        <v>301</v>
      </c>
      <c r="AK131" s="184" t="s">
        <v>135</v>
      </c>
      <c r="AL131" s="184" t="s">
        <v>1430</v>
      </c>
      <c r="AM131" s="184" t="s">
        <v>1444</v>
      </c>
      <c r="AN131" s="184" t="s">
        <v>137</v>
      </c>
      <c r="AO131" s="184">
        <v>12</v>
      </c>
    </row>
    <row r="132" spans="33:41" x14ac:dyDescent="0.25">
      <c r="AG132" s="65"/>
      <c r="AH132" s="65"/>
      <c r="AJ132" s="184" t="s">
        <v>302</v>
      </c>
      <c r="AK132" s="184" t="s">
        <v>135</v>
      </c>
      <c r="AL132" s="184" t="s">
        <v>1430</v>
      </c>
      <c r="AM132" s="184" t="s">
        <v>1473</v>
      </c>
      <c r="AN132" s="184" t="s">
        <v>137</v>
      </c>
      <c r="AO132" s="184">
        <v>12</v>
      </c>
    </row>
    <row r="133" spans="33:41" x14ac:dyDescent="0.25">
      <c r="AG133" s="65"/>
      <c r="AH133" s="65"/>
      <c r="AJ133" s="184" t="s">
        <v>303</v>
      </c>
      <c r="AK133" s="184" t="s">
        <v>135</v>
      </c>
      <c r="AL133" s="184" t="s">
        <v>1430</v>
      </c>
      <c r="AM133" s="184" t="s">
        <v>1454</v>
      </c>
      <c r="AN133" s="184" t="s">
        <v>137</v>
      </c>
      <c r="AO133" s="184">
        <v>12</v>
      </c>
    </row>
    <row r="134" spans="33:41" x14ac:dyDescent="0.25">
      <c r="AG134" s="65"/>
      <c r="AH134" s="65"/>
      <c r="AJ134" s="184" t="s">
        <v>304</v>
      </c>
      <c r="AK134" s="184" t="s">
        <v>135</v>
      </c>
      <c r="AL134" s="184" t="s">
        <v>1430</v>
      </c>
      <c r="AM134" s="184" t="s">
        <v>1464</v>
      </c>
      <c r="AN134" s="184" t="s">
        <v>137</v>
      </c>
      <c r="AO134" s="184">
        <v>12</v>
      </c>
    </row>
    <row r="135" spans="33:41" x14ac:dyDescent="0.25">
      <c r="AG135" s="65"/>
      <c r="AH135" s="65"/>
      <c r="AJ135" s="184" t="s">
        <v>305</v>
      </c>
      <c r="AK135" s="184" t="s">
        <v>135</v>
      </c>
      <c r="AL135" s="184" t="s">
        <v>1430</v>
      </c>
      <c r="AM135" s="184" t="s">
        <v>1459</v>
      </c>
      <c r="AN135" s="184" t="s">
        <v>137</v>
      </c>
      <c r="AO135" s="184">
        <v>12</v>
      </c>
    </row>
    <row r="136" spans="33:41" x14ac:dyDescent="0.25">
      <c r="AG136" s="65"/>
      <c r="AH136" s="65"/>
      <c r="AJ136" s="184" t="s">
        <v>306</v>
      </c>
      <c r="AK136" s="184" t="s">
        <v>143</v>
      </c>
      <c r="AL136" s="184" t="s">
        <v>1430</v>
      </c>
      <c r="AM136" s="184" t="s">
        <v>1459</v>
      </c>
      <c r="AN136" s="184" t="s">
        <v>137</v>
      </c>
      <c r="AO136" s="184">
        <v>6</v>
      </c>
    </row>
    <row r="137" spans="33:41" x14ac:dyDescent="0.25">
      <c r="AG137" s="65"/>
      <c r="AH137" s="65"/>
      <c r="AJ137" s="184" t="s">
        <v>307</v>
      </c>
      <c r="AK137" s="184" t="s">
        <v>143</v>
      </c>
      <c r="AL137" s="184" t="s">
        <v>1430</v>
      </c>
      <c r="AM137" s="184" t="s">
        <v>1453</v>
      </c>
      <c r="AN137" s="184" t="s">
        <v>137</v>
      </c>
      <c r="AO137" s="184">
        <v>6</v>
      </c>
    </row>
    <row r="138" spans="33:41" x14ac:dyDescent="0.25">
      <c r="AG138" s="65"/>
      <c r="AH138" s="65"/>
      <c r="AJ138" s="184" t="s">
        <v>308</v>
      </c>
      <c r="AK138" s="184" t="s">
        <v>143</v>
      </c>
      <c r="AL138" s="184" t="s">
        <v>1430</v>
      </c>
      <c r="AM138" s="184" t="s">
        <v>1448</v>
      </c>
      <c r="AN138" s="184" t="s">
        <v>137</v>
      </c>
      <c r="AO138" s="184">
        <v>6</v>
      </c>
    </row>
    <row r="139" spans="33:41" x14ac:dyDescent="0.25">
      <c r="AG139" s="65"/>
      <c r="AH139" s="65"/>
      <c r="AJ139" s="184" t="s">
        <v>309</v>
      </c>
      <c r="AK139" s="184" t="s">
        <v>143</v>
      </c>
      <c r="AL139" s="184" t="s">
        <v>1430</v>
      </c>
      <c r="AM139" s="184" t="s">
        <v>1465</v>
      </c>
      <c r="AN139" s="184" t="s">
        <v>137</v>
      </c>
      <c r="AO139" s="184">
        <v>6</v>
      </c>
    </row>
    <row r="140" spans="33:41" x14ac:dyDescent="0.25">
      <c r="AG140" s="65"/>
      <c r="AH140" s="65"/>
      <c r="AJ140" s="184" t="s">
        <v>310</v>
      </c>
      <c r="AK140" s="184" t="s">
        <v>143</v>
      </c>
      <c r="AL140" s="184" t="s">
        <v>1430</v>
      </c>
      <c r="AM140" s="184" t="s">
        <v>1453</v>
      </c>
      <c r="AN140" s="184" t="s">
        <v>137</v>
      </c>
      <c r="AO140" s="184">
        <v>6</v>
      </c>
    </row>
    <row r="141" spans="33:41" x14ac:dyDescent="0.25">
      <c r="AG141" s="65"/>
      <c r="AH141" s="65"/>
      <c r="AJ141" s="184" t="s">
        <v>311</v>
      </c>
      <c r="AK141" s="184" t="s">
        <v>143</v>
      </c>
      <c r="AL141" s="184" t="s">
        <v>1430</v>
      </c>
      <c r="AM141" s="184" t="s">
        <v>1456</v>
      </c>
      <c r="AN141" s="184" t="s">
        <v>137</v>
      </c>
      <c r="AO141" s="184">
        <v>6</v>
      </c>
    </row>
    <row r="142" spans="33:41" x14ac:dyDescent="0.25">
      <c r="AG142" s="65"/>
      <c r="AH142" s="65"/>
      <c r="AJ142" s="184" t="s">
        <v>312</v>
      </c>
      <c r="AK142" s="184" t="s">
        <v>143</v>
      </c>
      <c r="AL142" s="184" t="s">
        <v>1430</v>
      </c>
      <c r="AM142" s="184" t="s">
        <v>1453</v>
      </c>
      <c r="AN142" s="184" t="s">
        <v>137</v>
      </c>
      <c r="AO142" s="184">
        <v>6</v>
      </c>
    </row>
    <row r="143" spans="33:41" x14ac:dyDescent="0.25">
      <c r="AG143" s="65"/>
      <c r="AH143" s="65"/>
      <c r="AJ143" s="184" t="s">
        <v>313</v>
      </c>
      <c r="AK143" s="184" t="s">
        <v>143</v>
      </c>
      <c r="AL143" s="184" t="s">
        <v>1430</v>
      </c>
      <c r="AM143" s="184" t="s">
        <v>1453</v>
      </c>
      <c r="AN143" s="184" t="s">
        <v>137</v>
      </c>
      <c r="AO143" s="184">
        <v>6</v>
      </c>
    </row>
    <row r="144" spans="33:41" x14ac:dyDescent="0.25">
      <c r="AG144" s="65"/>
      <c r="AH144" s="65"/>
      <c r="AJ144" s="184" t="s">
        <v>314</v>
      </c>
      <c r="AK144" s="184" t="s">
        <v>143</v>
      </c>
      <c r="AL144" s="184" t="s">
        <v>1430</v>
      </c>
      <c r="AM144" s="184" t="s">
        <v>1448</v>
      </c>
      <c r="AN144" s="184" t="s">
        <v>137</v>
      </c>
      <c r="AO144" s="184">
        <v>6</v>
      </c>
    </row>
    <row r="145" spans="33:41" x14ac:dyDescent="0.25">
      <c r="AG145" s="65"/>
      <c r="AH145" s="65"/>
      <c r="AJ145" s="184" t="s">
        <v>315</v>
      </c>
      <c r="AK145" s="184" t="s">
        <v>143</v>
      </c>
      <c r="AL145" s="184" t="s">
        <v>1430</v>
      </c>
      <c r="AM145" s="184" t="s">
        <v>1457</v>
      </c>
      <c r="AN145" s="184" t="s">
        <v>137</v>
      </c>
      <c r="AO145" s="184">
        <v>6</v>
      </c>
    </row>
    <row r="146" spans="33:41" x14ac:dyDescent="0.25">
      <c r="AG146" s="65"/>
      <c r="AH146" s="65"/>
      <c r="AJ146" s="184" t="s">
        <v>316</v>
      </c>
      <c r="AK146" s="184" t="s">
        <v>143</v>
      </c>
      <c r="AL146" s="184" t="s">
        <v>1430</v>
      </c>
      <c r="AM146" s="184" t="s">
        <v>1457</v>
      </c>
      <c r="AN146" s="184" t="s">
        <v>137</v>
      </c>
      <c r="AO146" s="184">
        <v>6</v>
      </c>
    </row>
    <row r="147" spans="33:41" x14ac:dyDescent="0.25">
      <c r="AG147" s="65"/>
      <c r="AH147" s="65"/>
      <c r="AJ147" s="184" t="s">
        <v>317</v>
      </c>
      <c r="AK147" s="184" t="s">
        <v>143</v>
      </c>
      <c r="AL147" s="184" t="s">
        <v>1430</v>
      </c>
      <c r="AM147" s="184" t="s">
        <v>1459</v>
      </c>
      <c r="AN147" s="184" t="s">
        <v>137</v>
      </c>
      <c r="AO147" s="184">
        <v>6</v>
      </c>
    </row>
    <row r="148" spans="33:41" x14ac:dyDescent="0.25">
      <c r="AG148" s="65"/>
      <c r="AH148" s="65"/>
      <c r="AJ148" s="184" t="s">
        <v>318</v>
      </c>
      <c r="AK148" s="184" t="s">
        <v>143</v>
      </c>
      <c r="AL148" s="184" t="s">
        <v>1430</v>
      </c>
      <c r="AM148" s="184" t="s">
        <v>1448</v>
      </c>
      <c r="AN148" s="184" t="s">
        <v>137</v>
      </c>
      <c r="AO148" s="184">
        <v>6</v>
      </c>
    </row>
    <row r="149" spans="33:41" x14ac:dyDescent="0.25">
      <c r="AG149" s="65"/>
      <c r="AH149" s="65"/>
      <c r="AJ149" s="184" t="s">
        <v>319</v>
      </c>
      <c r="AK149" s="184" t="s">
        <v>143</v>
      </c>
      <c r="AL149" s="184" t="s">
        <v>1430</v>
      </c>
      <c r="AM149" s="184" t="s">
        <v>1448</v>
      </c>
      <c r="AN149" s="184" t="s">
        <v>137</v>
      </c>
      <c r="AO149" s="184">
        <v>6</v>
      </c>
    </row>
    <row r="150" spans="33:41" x14ac:dyDescent="0.25">
      <c r="AG150" s="65"/>
      <c r="AH150" s="65"/>
      <c r="AJ150" s="184" t="s">
        <v>320</v>
      </c>
      <c r="AK150" s="184" t="s">
        <v>143</v>
      </c>
      <c r="AL150" s="184" t="s">
        <v>1430</v>
      </c>
      <c r="AM150" s="184" t="s">
        <v>1453</v>
      </c>
      <c r="AN150" s="184" t="s">
        <v>137</v>
      </c>
      <c r="AO150" s="184">
        <v>6</v>
      </c>
    </row>
    <row r="151" spans="33:41" x14ac:dyDescent="0.25">
      <c r="AG151" s="65"/>
      <c r="AH151" s="65"/>
      <c r="AJ151" s="184" t="s">
        <v>321</v>
      </c>
      <c r="AK151" s="184" t="s">
        <v>143</v>
      </c>
      <c r="AL151" s="184" t="s">
        <v>1430</v>
      </c>
      <c r="AM151" s="184" t="s">
        <v>1455</v>
      </c>
      <c r="AN151" s="184" t="s">
        <v>137</v>
      </c>
      <c r="AO151" s="184">
        <v>6</v>
      </c>
    </row>
    <row r="152" spans="33:41" x14ac:dyDescent="0.25">
      <c r="AG152" s="65"/>
      <c r="AH152" s="65"/>
      <c r="AJ152" s="184" t="s">
        <v>322</v>
      </c>
      <c r="AK152" s="184" t="s">
        <v>143</v>
      </c>
      <c r="AL152" s="184" t="s">
        <v>1430</v>
      </c>
      <c r="AM152" s="184" t="s">
        <v>1459</v>
      </c>
      <c r="AN152" s="184" t="s">
        <v>137</v>
      </c>
      <c r="AO152" s="184">
        <v>6</v>
      </c>
    </row>
    <row r="153" spans="33:41" x14ac:dyDescent="0.25">
      <c r="AG153" s="65"/>
      <c r="AH153" s="65"/>
      <c r="AJ153" s="184" t="s">
        <v>323</v>
      </c>
      <c r="AK153" s="184" t="s">
        <v>143</v>
      </c>
      <c r="AL153" s="184" t="s">
        <v>1430</v>
      </c>
      <c r="AM153" s="184" t="s">
        <v>1452</v>
      </c>
      <c r="AN153" s="184" t="s">
        <v>137</v>
      </c>
      <c r="AO153" s="184">
        <v>6</v>
      </c>
    </row>
    <row r="154" spans="33:41" x14ac:dyDescent="0.25">
      <c r="AG154" s="65"/>
      <c r="AH154" s="65"/>
      <c r="AJ154" s="184" t="s">
        <v>324</v>
      </c>
      <c r="AK154" s="184" t="s">
        <v>143</v>
      </c>
      <c r="AL154" s="184" t="s">
        <v>1430</v>
      </c>
      <c r="AM154" s="184" t="s">
        <v>1457</v>
      </c>
      <c r="AN154" s="184" t="s">
        <v>137</v>
      </c>
      <c r="AO154" s="184">
        <v>6</v>
      </c>
    </row>
    <row r="155" spans="33:41" x14ac:dyDescent="0.25">
      <c r="AG155" s="65"/>
      <c r="AH155" s="65"/>
      <c r="AJ155" s="184" t="s">
        <v>325</v>
      </c>
      <c r="AK155" s="184" t="s">
        <v>143</v>
      </c>
      <c r="AL155" s="184" t="s">
        <v>1430</v>
      </c>
      <c r="AM155" s="184" t="s">
        <v>1453</v>
      </c>
      <c r="AN155" s="184" t="s">
        <v>137</v>
      </c>
      <c r="AO155" s="184">
        <v>6</v>
      </c>
    </row>
    <row r="156" spans="33:41" x14ac:dyDescent="0.25">
      <c r="AG156" s="65"/>
      <c r="AH156" s="65"/>
      <c r="AJ156" s="184" t="s">
        <v>326</v>
      </c>
      <c r="AK156" s="184" t="s">
        <v>143</v>
      </c>
      <c r="AL156" s="184" t="s">
        <v>1430</v>
      </c>
      <c r="AM156" s="184" t="s">
        <v>1448</v>
      </c>
      <c r="AN156" s="184" t="s">
        <v>137</v>
      </c>
      <c r="AO156" s="184">
        <v>6</v>
      </c>
    </row>
    <row r="157" spans="33:41" x14ac:dyDescent="0.25">
      <c r="AG157" s="65"/>
      <c r="AH157" s="65"/>
      <c r="AJ157" s="184" t="s">
        <v>327</v>
      </c>
      <c r="AK157" s="184" t="s">
        <v>143</v>
      </c>
      <c r="AL157" s="184" t="s">
        <v>1430</v>
      </c>
      <c r="AM157" s="184" t="s">
        <v>1448</v>
      </c>
      <c r="AN157" s="184" t="s">
        <v>137</v>
      </c>
      <c r="AO157" s="184">
        <v>6</v>
      </c>
    </row>
    <row r="158" spans="33:41" x14ac:dyDescent="0.25">
      <c r="AG158" s="65"/>
      <c r="AH158" s="65"/>
      <c r="AJ158" s="184" t="s">
        <v>328</v>
      </c>
      <c r="AK158" s="184" t="s">
        <v>143</v>
      </c>
      <c r="AL158" s="184" t="s">
        <v>1430</v>
      </c>
      <c r="AM158" s="184" t="s">
        <v>1470</v>
      </c>
      <c r="AN158" s="184" t="s">
        <v>137</v>
      </c>
      <c r="AO158" s="184">
        <v>6</v>
      </c>
    </row>
    <row r="159" spans="33:41" x14ac:dyDescent="0.25">
      <c r="AG159" s="65"/>
      <c r="AH159" s="65"/>
      <c r="AJ159" s="184" t="s">
        <v>329</v>
      </c>
      <c r="AK159" s="184" t="s">
        <v>143</v>
      </c>
      <c r="AL159" s="184" t="s">
        <v>1430</v>
      </c>
      <c r="AM159" s="184" t="s">
        <v>1470</v>
      </c>
      <c r="AN159" s="184" t="s">
        <v>137</v>
      </c>
      <c r="AO159" s="184">
        <v>6</v>
      </c>
    </row>
    <row r="160" spans="33:41" x14ac:dyDescent="0.25">
      <c r="AG160" s="65"/>
      <c r="AH160" s="65"/>
      <c r="AJ160" s="184" t="s">
        <v>330</v>
      </c>
      <c r="AK160" s="184" t="s">
        <v>143</v>
      </c>
      <c r="AL160" s="184" t="s">
        <v>1430</v>
      </c>
      <c r="AM160" s="184" t="s">
        <v>1453</v>
      </c>
      <c r="AN160" s="184" t="s">
        <v>137</v>
      </c>
      <c r="AO160" s="184">
        <v>6</v>
      </c>
    </row>
    <row r="161" spans="33:41" x14ac:dyDescent="0.25">
      <c r="AG161" s="65"/>
      <c r="AH161" s="65"/>
      <c r="AJ161" s="184" t="s">
        <v>331</v>
      </c>
      <c r="AK161" s="184" t="s">
        <v>143</v>
      </c>
      <c r="AL161" s="184" t="s">
        <v>1430</v>
      </c>
      <c r="AM161" s="184" t="s">
        <v>1453</v>
      </c>
      <c r="AN161" s="184" t="s">
        <v>137</v>
      </c>
      <c r="AO161" s="184">
        <v>6</v>
      </c>
    </row>
    <row r="162" spans="33:41" x14ac:dyDescent="0.25">
      <c r="AG162" s="65"/>
      <c r="AH162" s="65"/>
      <c r="AJ162" s="184" t="s">
        <v>332</v>
      </c>
      <c r="AK162" s="184" t="s">
        <v>143</v>
      </c>
      <c r="AL162" s="184" t="s">
        <v>1430</v>
      </c>
      <c r="AM162" s="184" t="s">
        <v>1470</v>
      </c>
      <c r="AN162" s="184" t="s">
        <v>137</v>
      </c>
      <c r="AO162" s="184">
        <v>6</v>
      </c>
    </row>
    <row r="163" spans="33:41" x14ac:dyDescent="0.25">
      <c r="AG163" s="65"/>
      <c r="AH163" s="65"/>
      <c r="AJ163" s="184" t="s">
        <v>333</v>
      </c>
      <c r="AK163" s="184" t="s">
        <v>143</v>
      </c>
      <c r="AL163" s="184" t="s">
        <v>1430</v>
      </c>
      <c r="AM163" s="184" t="s">
        <v>1457</v>
      </c>
      <c r="AN163" s="184" t="s">
        <v>137</v>
      </c>
      <c r="AO163" s="184">
        <v>6</v>
      </c>
    </row>
    <row r="164" spans="33:41" x14ac:dyDescent="0.25">
      <c r="AG164" s="65"/>
      <c r="AH164" s="65"/>
      <c r="AJ164" s="184" t="s">
        <v>334</v>
      </c>
      <c r="AK164" s="184" t="s">
        <v>143</v>
      </c>
      <c r="AL164" s="184" t="s">
        <v>1430</v>
      </c>
      <c r="AM164" s="184" t="s">
        <v>1457</v>
      </c>
      <c r="AN164" s="184" t="s">
        <v>137</v>
      </c>
      <c r="AO164" s="184">
        <v>6</v>
      </c>
    </row>
    <row r="165" spans="33:41" x14ac:dyDescent="0.25">
      <c r="AG165" s="65"/>
      <c r="AH165" s="65"/>
      <c r="AJ165" s="184" t="s">
        <v>335</v>
      </c>
      <c r="AK165" s="184" t="s">
        <v>143</v>
      </c>
      <c r="AL165" s="184" t="s">
        <v>1430</v>
      </c>
      <c r="AM165" s="184" t="s">
        <v>1452</v>
      </c>
      <c r="AN165" s="184" t="s">
        <v>137</v>
      </c>
      <c r="AO165" s="184">
        <v>6</v>
      </c>
    </row>
    <row r="166" spans="33:41" x14ac:dyDescent="0.25">
      <c r="AG166" s="65"/>
      <c r="AH166" s="65"/>
      <c r="AJ166" s="184" t="s">
        <v>336</v>
      </c>
      <c r="AK166" s="184" t="s">
        <v>143</v>
      </c>
      <c r="AL166" s="184" t="s">
        <v>1430</v>
      </c>
      <c r="AM166" s="184" t="s">
        <v>1452</v>
      </c>
      <c r="AN166" s="184" t="s">
        <v>137</v>
      </c>
      <c r="AO166" s="184">
        <v>6</v>
      </c>
    </row>
    <row r="167" spans="33:41" x14ac:dyDescent="0.25">
      <c r="AG167" s="65"/>
      <c r="AH167" s="65"/>
      <c r="AJ167" s="184" t="s">
        <v>337</v>
      </c>
      <c r="AK167" s="184" t="s">
        <v>143</v>
      </c>
      <c r="AL167" s="184" t="s">
        <v>1430</v>
      </c>
      <c r="AM167" s="184" t="s">
        <v>1453</v>
      </c>
      <c r="AN167" s="184" t="s">
        <v>137</v>
      </c>
      <c r="AO167" s="184">
        <v>6</v>
      </c>
    </row>
    <row r="168" spans="33:41" x14ac:dyDescent="0.25">
      <c r="AG168" s="65"/>
      <c r="AH168" s="65"/>
      <c r="AJ168" s="184" t="s">
        <v>338</v>
      </c>
      <c r="AK168" s="184" t="s">
        <v>143</v>
      </c>
      <c r="AL168" s="184" t="s">
        <v>1430</v>
      </c>
      <c r="AM168" s="184" t="s">
        <v>1456</v>
      </c>
      <c r="AN168" s="184" t="s">
        <v>137</v>
      </c>
      <c r="AO168" s="184">
        <v>6</v>
      </c>
    </row>
    <row r="169" spans="33:41" x14ac:dyDescent="0.25">
      <c r="AG169" s="65"/>
      <c r="AH169" s="65"/>
      <c r="AJ169" s="184" t="s">
        <v>339</v>
      </c>
      <c r="AK169" s="184" t="s">
        <v>143</v>
      </c>
      <c r="AL169" s="184" t="s">
        <v>1430</v>
      </c>
      <c r="AM169" s="184" t="s">
        <v>1444</v>
      </c>
      <c r="AN169" s="184" t="s">
        <v>137</v>
      </c>
      <c r="AO169" s="184">
        <v>6</v>
      </c>
    </row>
    <row r="170" spans="33:41" x14ac:dyDescent="0.25">
      <c r="AG170" s="65"/>
      <c r="AH170" s="65"/>
      <c r="AJ170" s="184" t="s">
        <v>340</v>
      </c>
      <c r="AK170" s="184" t="s">
        <v>143</v>
      </c>
      <c r="AL170" s="184" t="s">
        <v>1430</v>
      </c>
      <c r="AM170" s="184" t="s">
        <v>1444</v>
      </c>
      <c r="AN170" s="184" t="s">
        <v>137</v>
      </c>
      <c r="AO170" s="184">
        <v>6</v>
      </c>
    </row>
    <row r="171" spans="33:41" x14ac:dyDescent="0.25">
      <c r="AG171" s="65"/>
      <c r="AH171" s="65"/>
      <c r="AJ171" s="184" t="s">
        <v>341</v>
      </c>
      <c r="AK171" s="184" t="s">
        <v>143</v>
      </c>
      <c r="AL171" s="184" t="s">
        <v>1430</v>
      </c>
      <c r="AM171" s="184" t="s">
        <v>1456</v>
      </c>
      <c r="AN171" s="184" t="s">
        <v>137</v>
      </c>
      <c r="AO171" s="184">
        <v>6</v>
      </c>
    </row>
    <row r="172" spans="33:41" x14ac:dyDescent="0.25">
      <c r="AG172" s="65"/>
      <c r="AH172" s="65"/>
      <c r="AJ172" s="184" t="s">
        <v>342</v>
      </c>
      <c r="AK172" s="184" t="s">
        <v>143</v>
      </c>
      <c r="AL172" s="184" t="s">
        <v>1430</v>
      </c>
      <c r="AM172" s="184" t="s">
        <v>1465</v>
      </c>
      <c r="AN172" s="184" t="s">
        <v>137</v>
      </c>
      <c r="AO172" s="184">
        <v>6</v>
      </c>
    </row>
    <row r="173" spans="33:41" x14ac:dyDescent="0.25">
      <c r="AG173" s="65"/>
      <c r="AH173" s="65"/>
      <c r="AJ173" s="184" t="s">
        <v>343</v>
      </c>
      <c r="AK173" s="184" t="s">
        <v>143</v>
      </c>
      <c r="AL173" s="184" t="s">
        <v>1430</v>
      </c>
      <c r="AM173" s="184" t="s">
        <v>1466</v>
      </c>
      <c r="AN173" s="184" t="s">
        <v>137</v>
      </c>
      <c r="AO173" s="184">
        <v>6</v>
      </c>
    </row>
    <row r="174" spans="33:41" x14ac:dyDescent="0.25">
      <c r="AG174" s="65"/>
      <c r="AH174" s="65"/>
      <c r="AJ174" s="184" t="s">
        <v>344</v>
      </c>
      <c r="AK174" s="184" t="s">
        <v>143</v>
      </c>
      <c r="AL174" s="184" t="s">
        <v>1430</v>
      </c>
      <c r="AM174" s="184" t="s">
        <v>1453</v>
      </c>
      <c r="AN174" s="184" t="s">
        <v>137</v>
      </c>
      <c r="AO174" s="184">
        <v>6</v>
      </c>
    </row>
    <row r="175" spans="33:41" x14ac:dyDescent="0.25">
      <c r="AG175" s="65"/>
      <c r="AH175" s="65"/>
      <c r="AJ175" s="184" t="s">
        <v>345</v>
      </c>
      <c r="AK175" s="184" t="s">
        <v>143</v>
      </c>
      <c r="AL175" s="184" t="s">
        <v>1430</v>
      </c>
      <c r="AM175" s="184" t="s">
        <v>1444</v>
      </c>
      <c r="AN175" s="184" t="s">
        <v>137</v>
      </c>
      <c r="AO175" s="184">
        <v>6</v>
      </c>
    </row>
    <row r="176" spans="33:41" x14ac:dyDescent="0.25">
      <c r="AG176" s="65"/>
      <c r="AH176" s="65"/>
      <c r="AJ176" s="184" t="s">
        <v>346</v>
      </c>
      <c r="AK176" s="184" t="s">
        <v>143</v>
      </c>
      <c r="AL176" s="184" t="s">
        <v>1430</v>
      </c>
      <c r="AM176" s="184" t="s">
        <v>1444</v>
      </c>
      <c r="AN176" s="184" t="s">
        <v>137</v>
      </c>
      <c r="AO176" s="184">
        <v>6</v>
      </c>
    </row>
    <row r="177" spans="33:41" x14ac:dyDescent="0.25">
      <c r="AG177" s="65"/>
      <c r="AH177" s="65"/>
      <c r="AJ177" s="184" t="s">
        <v>347</v>
      </c>
      <c r="AK177" s="184" t="s">
        <v>143</v>
      </c>
      <c r="AL177" s="184" t="s">
        <v>1430</v>
      </c>
      <c r="AM177" s="184" t="s">
        <v>1444</v>
      </c>
      <c r="AN177" s="184" t="s">
        <v>137</v>
      </c>
      <c r="AO177" s="184">
        <v>6</v>
      </c>
    </row>
    <row r="178" spans="33:41" x14ac:dyDescent="0.25">
      <c r="AG178" s="65"/>
      <c r="AH178" s="65"/>
      <c r="AJ178" s="184" t="s">
        <v>348</v>
      </c>
      <c r="AK178" s="184" t="s">
        <v>143</v>
      </c>
      <c r="AL178" s="184" t="s">
        <v>1430</v>
      </c>
      <c r="AM178" s="184" t="s">
        <v>1444</v>
      </c>
      <c r="AN178" s="184" t="s">
        <v>137</v>
      </c>
      <c r="AO178" s="184">
        <v>6</v>
      </c>
    </row>
    <row r="179" spans="33:41" x14ac:dyDescent="0.25">
      <c r="AG179" s="65"/>
      <c r="AH179" s="65"/>
      <c r="AJ179" s="184" t="s">
        <v>349</v>
      </c>
      <c r="AK179" s="184" t="s">
        <v>143</v>
      </c>
      <c r="AL179" s="184" t="s">
        <v>1430</v>
      </c>
      <c r="AM179" s="184" t="s">
        <v>1453</v>
      </c>
      <c r="AN179" s="184" t="s">
        <v>137</v>
      </c>
      <c r="AO179" s="184">
        <v>6</v>
      </c>
    </row>
    <row r="180" spans="33:41" x14ac:dyDescent="0.25">
      <c r="AG180" s="65"/>
      <c r="AH180" s="65"/>
      <c r="AJ180" s="184" t="s">
        <v>350</v>
      </c>
      <c r="AK180" s="184" t="s">
        <v>143</v>
      </c>
      <c r="AL180" s="184" t="s">
        <v>1430</v>
      </c>
      <c r="AM180" s="184" t="s">
        <v>1470</v>
      </c>
      <c r="AN180" s="184" t="s">
        <v>137</v>
      </c>
      <c r="AO180" s="184">
        <v>6</v>
      </c>
    </row>
    <row r="181" spans="33:41" x14ac:dyDescent="0.25">
      <c r="AG181" s="65"/>
      <c r="AH181" s="65"/>
      <c r="AJ181" s="184" t="s">
        <v>351</v>
      </c>
      <c r="AK181" s="184" t="s">
        <v>143</v>
      </c>
      <c r="AL181" s="184" t="s">
        <v>1430</v>
      </c>
      <c r="AM181" s="184" t="s">
        <v>1455</v>
      </c>
      <c r="AN181" s="184" t="s">
        <v>137</v>
      </c>
      <c r="AO181" s="184">
        <v>6</v>
      </c>
    </row>
    <row r="182" spans="33:41" x14ac:dyDescent="0.25">
      <c r="AG182" s="65"/>
      <c r="AH182" s="65"/>
      <c r="AJ182" s="184" t="s">
        <v>352</v>
      </c>
      <c r="AK182" s="184" t="s">
        <v>143</v>
      </c>
      <c r="AL182" s="184" t="s">
        <v>1430</v>
      </c>
      <c r="AM182" s="184" t="s">
        <v>1452</v>
      </c>
      <c r="AN182" s="184" t="s">
        <v>137</v>
      </c>
      <c r="AO182" s="184">
        <v>6</v>
      </c>
    </row>
    <row r="183" spans="33:41" x14ac:dyDescent="0.25">
      <c r="AG183" s="65"/>
      <c r="AH183" s="65"/>
      <c r="AJ183" s="184" t="s">
        <v>353</v>
      </c>
      <c r="AK183" s="184" t="s">
        <v>143</v>
      </c>
      <c r="AL183" s="184" t="s">
        <v>1430</v>
      </c>
      <c r="AM183" s="184" t="s">
        <v>1466</v>
      </c>
      <c r="AN183" s="184" t="s">
        <v>137</v>
      </c>
      <c r="AO183" s="184">
        <v>6</v>
      </c>
    </row>
    <row r="184" spans="33:41" x14ac:dyDescent="0.25">
      <c r="AG184" s="65"/>
      <c r="AH184" s="65"/>
      <c r="AJ184" s="184" t="s">
        <v>354</v>
      </c>
      <c r="AK184" s="184" t="s">
        <v>143</v>
      </c>
      <c r="AL184" s="184" t="s">
        <v>1430</v>
      </c>
      <c r="AM184" s="184" t="s">
        <v>1453</v>
      </c>
      <c r="AN184" s="184" t="s">
        <v>137</v>
      </c>
      <c r="AO184" s="184">
        <v>6</v>
      </c>
    </row>
    <row r="185" spans="33:41" x14ac:dyDescent="0.25">
      <c r="AG185" s="65"/>
      <c r="AH185" s="65"/>
      <c r="AJ185" s="184" t="s">
        <v>355</v>
      </c>
      <c r="AK185" s="184" t="s">
        <v>143</v>
      </c>
      <c r="AL185" s="184" t="s">
        <v>1430</v>
      </c>
      <c r="AM185" s="184" t="s">
        <v>1453</v>
      </c>
      <c r="AN185" s="184" t="s">
        <v>137</v>
      </c>
      <c r="AO185" s="184">
        <v>6</v>
      </c>
    </row>
    <row r="186" spans="33:41" x14ac:dyDescent="0.25">
      <c r="AG186" s="65"/>
      <c r="AH186" s="65"/>
      <c r="AJ186" s="184" t="s">
        <v>356</v>
      </c>
      <c r="AK186" s="184" t="s">
        <v>143</v>
      </c>
      <c r="AL186" s="184" t="s">
        <v>1430</v>
      </c>
      <c r="AM186" s="184" t="s">
        <v>1510</v>
      </c>
      <c r="AN186" s="184" t="s">
        <v>137</v>
      </c>
      <c r="AO186" s="184">
        <v>6</v>
      </c>
    </row>
    <row r="187" spans="33:41" x14ac:dyDescent="0.25">
      <c r="AG187" s="65"/>
      <c r="AH187" s="65"/>
      <c r="AJ187" s="184" t="s">
        <v>357</v>
      </c>
      <c r="AK187" s="184" t="s">
        <v>143</v>
      </c>
      <c r="AL187" s="184" t="s">
        <v>1430</v>
      </c>
      <c r="AM187" s="184" t="s">
        <v>1453</v>
      </c>
      <c r="AN187" s="184" t="s">
        <v>137</v>
      </c>
      <c r="AO187" s="184">
        <v>6</v>
      </c>
    </row>
    <row r="188" spans="33:41" x14ac:dyDescent="0.25">
      <c r="AG188" s="65"/>
      <c r="AH188" s="65"/>
      <c r="AJ188" s="184" t="s">
        <v>1682</v>
      </c>
      <c r="AK188" s="184" t="s">
        <v>143</v>
      </c>
      <c r="AL188" s="184"/>
      <c r="AM188" s="184" t="s">
        <v>1510</v>
      </c>
      <c r="AN188" s="184" t="s">
        <v>137</v>
      </c>
      <c r="AO188" s="184">
        <v>6</v>
      </c>
    </row>
    <row r="189" spans="33:41" x14ac:dyDescent="0.25">
      <c r="AG189" s="65"/>
      <c r="AH189" s="65"/>
      <c r="AJ189" s="184" t="s">
        <v>358</v>
      </c>
      <c r="AK189" s="184" t="s">
        <v>143</v>
      </c>
      <c r="AL189" s="184" t="s">
        <v>1430</v>
      </c>
      <c r="AM189" s="184" t="s">
        <v>1453</v>
      </c>
      <c r="AN189" s="184" t="s">
        <v>137</v>
      </c>
      <c r="AO189" s="184">
        <v>6</v>
      </c>
    </row>
    <row r="190" spans="33:41" x14ac:dyDescent="0.25">
      <c r="AG190" s="65"/>
      <c r="AH190" s="65"/>
      <c r="AJ190" s="184" t="s">
        <v>359</v>
      </c>
      <c r="AK190" s="184" t="s">
        <v>143</v>
      </c>
      <c r="AL190" s="184" t="s">
        <v>1430</v>
      </c>
      <c r="AM190" s="184" t="s">
        <v>1466</v>
      </c>
      <c r="AN190" s="184" t="s">
        <v>137</v>
      </c>
      <c r="AO190" s="184">
        <v>6</v>
      </c>
    </row>
    <row r="191" spans="33:41" x14ac:dyDescent="0.25">
      <c r="AG191" s="65"/>
      <c r="AH191" s="65"/>
      <c r="AJ191" s="184" t="s">
        <v>360</v>
      </c>
      <c r="AK191" s="184" t="s">
        <v>143</v>
      </c>
      <c r="AL191" s="184" t="s">
        <v>1430</v>
      </c>
      <c r="AM191" s="184" t="s">
        <v>1453</v>
      </c>
      <c r="AN191" s="184" t="s">
        <v>137</v>
      </c>
      <c r="AO191" s="184">
        <v>6</v>
      </c>
    </row>
    <row r="192" spans="33:41" x14ac:dyDescent="0.25">
      <c r="AG192" s="65"/>
      <c r="AH192" s="65"/>
      <c r="AJ192" s="184" t="s">
        <v>361</v>
      </c>
      <c r="AK192" s="184" t="s">
        <v>143</v>
      </c>
      <c r="AL192" s="184" t="s">
        <v>1430</v>
      </c>
      <c r="AM192" s="184" t="s">
        <v>1453</v>
      </c>
      <c r="AN192" s="184" t="s">
        <v>137</v>
      </c>
      <c r="AO192" s="184">
        <v>6</v>
      </c>
    </row>
    <row r="193" spans="33:41" x14ac:dyDescent="0.25">
      <c r="AG193" s="65"/>
      <c r="AH193" s="65"/>
      <c r="AJ193" s="184" t="s">
        <v>362</v>
      </c>
      <c r="AK193" s="184" t="s">
        <v>143</v>
      </c>
      <c r="AL193" s="184" t="s">
        <v>1430</v>
      </c>
      <c r="AM193" s="184" t="s">
        <v>1453</v>
      </c>
      <c r="AN193" s="184" t="s">
        <v>137</v>
      </c>
      <c r="AO193" s="184">
        <v>6</v>
      </c>
    </row>
    <row r="194" spans="33:41" x14ac:dyDescent="0.25">
      <c r="AG194" s="65"/>
      <c r="AH194" s="65"/>
      <c r="AJ194" s="184" t="s">
        <v>363</v>
      </c>
      <c r="AK194" s="184" t="s">
        <v>143</v>
      </c>
      <c r="AL194" s="184" t="s">
        <v>1430</v>
      </c>
      <c r="AM194" s="184" t="s">
        <v>1456</v>
      </c>
      <c r="AN194" s="184" t="s">
        <v>137</v>
      </c>
      <c r="AO194" s="184">
        <v>6</v>
      </c>
    </row>
    <row r="195" spans="33:41" x14ac:dyDescent="0.25">
      <c r="AG195" s="65"/>
      <c r="AH195" s="65"/>
      <c r="AJ195" s="184" t="s">
        <v>364</v>
      </c>
      <c r="AK195" s="184" t="s">
        <v>143</v>
      </c>
      <c r="AL195" s="184" t="s">
        <v>1430</v>
      </c>
      <c r="AM195" s="184" t="s">
        <v>1448</v>
      </c>
      <c r="AN195" s="184" t="s">
        <v>137</v>
      </c>
      <c r="AO195" s="184">
        <v>6</v>
      </c>
    </row>
    <row r="196" spans="33:41" x14ac:dyDescent="0.25">
      <c r="AG196" s="65"/>
      <c r="AH196" s="65"/>
      <c r="AJ196" s="184" t="s">
        <v>365</v>
      </c>
      <c r="AK196" s="184" t="s">
        <v>143</v>
      </c>
      <c r="AL196" s="184" t="s">
        <v>1430</v>
      </c>
      <c r="AM196" s="184" t="s">
        <v>1452</v>
      </c>
      <c r="AN196" s="184" t="s">
        <v>137</v>
      </c>
      <c r="AO196" s="184">
        <v>6</v>
      </c>
    </row>
    <row r="197" spans="33:41" x14ac:dyDescent="0.25">
      <c r="AG197" s="65"/>
      <c r="AH197" s="65"/>
      <c r="AJ197" s="184" t="s">
        <v>366</v>
      </c>
      <c r="AK197" s="184" t="s">
        <v>143</v>
      </c>
      <c r="AL197" s="184" t="s">
        <v>1430</v>
      </c>
      <c r="AM197" s="184" t="s">
        <v>1453</v>
      </c>
      <c r="AN197" s="184" t="s">
        <v>137</v>
      </c>
      <c r="AO197" s="184">
        <v>6</v>
      </c>
    </row>
    <row r="198" spans="33:41" x14ac:dyDescent="0.25">
      <c r="AG198" s="65"/>
      <c r="AH198" s="65"/>
      <c r="AJ198" s="184" t="s">
        <v>367</v>
      </c>
      <c r="AK198" s="184" t="s">
        <v>143</v>
      </c>
      <c r="AL198" s="184" t="s">
        <v>1430</v>
      </c>
      <c r="AM198" s="184" t="s">
        <v>1444</v>
      </c>
      <c r="AN198" s="184" t="s">
        <v>137</v>
      </c>
      <c r="AO198" s="184">
        <v>6</v>
      </c>
    </row>
    <row r="199" spans="33:41" x14ac:dyDescent="0.25">
      <c r="AG199" s="65"/>
      <c r="AH199" s="65"/>
      <c r="AJ199" s="184" t="s">
        <v>368</v>
      </c>
      <c r="AK199" s="184" t="s">
        <v>143</v>
      </c>
      <c r="AL199" s="184" t="s">
        <v>1430</v>
      </c>
      <c r="AM199" s="184" t="s">
        <v>1459</v>
      </c>
      <c r="AN199" s="184" t="s">
        <v>137</v>
      </c>
      <c r="AO199" s="184">
        <v>6</v>
      </c>
    </row>
    <row r="200" spans="33:41" x14ac:dyDescent="0.25">
      <c r="AG200" s="65"/>
      <c r="AH200" s="65"/>
      <c r="AJ200" s="184" t="s">
        <v>369</v>
      </c>
      <c r="AK200" s="184" t="s">
        <v>143</v>
      </c>
      <c r="AL200" s="184" t="s">
        <v>1430</v>
      </c>
      <c r="AM200" s="184" t="s">
        <v>1453</v>
      </c>
      <c r="AN200" s="184" t="s">
        <v>137</v>
      </c>
      <c r="AO200" s="184">
        <v>6</v>
      </c>
    </row>
    <row r="201" spans="33:41" x14ac:dyDescent="0.25">
      <c r="AG201" s="65"/>
      <c r="AH201" s="65"/>
      <c r="AJ201" s="184" t="s">
        <v>370</v>
      </c>
      <c r="AK201" s="184" t="s">
        <v>143</v>
      </c>
      <c r="AL201" s="184" t="s">
        <v>1431</v>
      </c>
      <c r="AM201" s="184" t="s">
        <v>1455</v>
      </c>
      <c r="AN201" s="184" t="s">
        <v>137</v>
      </c>
      <c r="AO201" s="184">
        <v>6</v>
      </c>
    </row>
    <row r="202" spans="33:41" x14ac:dyDescent="0.25">
      <c r="AG202" s="65"/>
      <c r="AH202" s="65"/>
      <c r="AJ202" s="184" t="s">
        <v>371</v>
      </c>
      <c r="AK202" s="184" t="s">
        <v>143</v>
      </c>
      <c r="AL202" s="184" t="s">
        <v>1430</v>
      </c>
      <c r="AM202" s="184" t="s">
        <v>1455</v>
      </c>
      <c r="AN202" s="184" t="s">
        <v>137</v>
      </c>
      <c r="AO202" s="184">
        <v>6</v>
      </c>
    </row>
    <row r="203" spans="33:41" x14ac:dyDescent="0.25">
      <c r="AG203" s="65"/>
      <c r="AH203" s="65"/>
      <c r="AJ203" s="184" t="s">
        <v>372</v>
      </c>
      <c r="AK203" s="184" t="s">
        <v>143</v>
      </c>
      <c r="AL203" s="184" t="s">
        <v>1431</v>
      </c>
      <c r="AM203" s="184" t="s">
        <v>1455</v>
      </c>
      <c r="AN203" s="184" t="s">
        <v>137</v>
      </c>
      <c r="AO203" s="184">
        <v>6</v>
      </c>
    </row>
    <row r="204" spans="33:41" x14ac:dyDescent="0.25">
      <c r="AG204" s="65"/>
      <c r="AH204" s="65"/>
      <c r="AJ204" s="184" t="s">
        <v>373</v>
      </c>
      <c r="AK204" s="184" t="s">
        <v>143</v>
      </c>
      <c r="AL204" s="184" t="s">
        <v>1430</v>
      </c>
      <c r="AM204" s="184" t="s">
        <v>1457</v>
      </c>
      <c r="AN204" s="184" t="s">
        <v>137</v>
      </c>
      <c r="AO204" s="184">
        <v>6</v>
      </c>
    </row>
    <row r="205" spans="33:41" x14ac:dyDescent="0.25">
      <c r="AG205" s="65"/>
      <c r="AH205" s="65"/>
      <c r="AJ205" s="184" t="s">
        <v>374</v>
      </c>
      <c r="AK205" s="184" t="s">
        <v>143</v>
      </c>
      <c r="AL205" s="184" t="s">
        <v>1430</v>
      </c>
      <c r="AM205" s="184" t="s">
        <v>1444</v>
      </c>
      <c r="AN205" s="184" t="s">
        <v>137</v>
      </c>
      <c r="AO205" s="184">
        <v>6</v>
      </c>
    </row>
    <row r="206" spans="33:41" x14ac:dyDescent="0.25">
      <c r="AG206" s="65"/>
      <c r="AH206" s="65"/>
      <c r="AJ206" s="184" t="s">
        <v>375</v>
      </c>
      <c r="AK206" s="184" t="s">
        <v>143</v>
      </c>
      <c r="AL206" s="184" t="s">
        <v>1430</v>
      </c>
      <c r="AM206" s="184" t="s">
        <v>1457</v>
      </c>
      <c r="AN206" s="184" t="s">
        <v>137</v>
      </c>
      <c r="AO206" s="184">
        <v>6</v>
      </c>
    </row>
    <row r="207" spans="33:41" x14ac:dyDescent="0.25">
      <c r="AG207" s="65"/>
      <c r="AH207" s="65"/>
      <c r="AJ207" s="184" t="s">
        <v>376</v>
      </c>
      <c r="AK207" s="184" t="s">
        <v>143</v>
      </c>
      <c r="AL207" s="184" t="s">
        <v>1430</v>
      </c>
      <c r="AM207" s="184" t="s">
        <v>1453</v>
      </c>
      <c r="AN207" s="184" t="s">
        <v>137</v>
      </c>
      <c r="AO207" s="184">
        <v>6</v>
      </c>
    </row>
    <row r="208" spans="33:41" x14ac:dyDescent="0.25">
      <c r="AG208" s="65"/>
      <c r="AH208" s="65"/>
      <c r="AJ208" s="184" t="s">
        <v>377</v>
      </c>
      <c r="AK208" s="184" t="s">
        <v>143</v>
      </c>
      <c r="AL208" s="184" t="s">
        <v>1430</v>
      </c>
      <c r="AM208" s="184" t="s">
        <v>1444</v>
      </c>
      <c r="AN208" s="184" t="s">
        <v>137</v>
      </c>
      <c r="AO208" s="184">
        <v>6</v>
      </c>
    </row>
    <row r="209" spans="33:41" x14ac:dyDescent="0.25">
      <c r="AG209" s="65"/>
      <c r="AH209" s="65"/>
      <c r="AJ209" s="184" t="s">
        <v>378</v>
      </c>
      <c r="AK209" s="184" t="s">
        <v>143</v>
      </c>
      <c r="AL209" s="184" t="s">
        <v>1430</v>
      </c>
      <c r="AM209" s="184" t="s">
        <v>1444</v>
      </c>
      <c r="AN209" s="184" t="s">
        <v>137</v>
      </c>
      <c r="AO209" s="184">
        <v>6</v>
      </c>
    </row>
    <row r="210" spans="33:41" x14ac:dyDescent="0.25">
      <c r="AG210" s="65"/>
      <c r="AH210" s="65"/>
      <c r="AJ210" s="184" t="s">
        <v>379</v>
      </c>
      <c r="AK210" s="184" t="s">
        <v>143</v>
      </c>
      <c r="AL210" s="184" t="s">
        <v>1430</v>
      </c>
      <c r="AM210" s="184" t="s">
        <v>1444</v>
      </c>
      <c r="AN210" s="184" t="s">
        <v>137</v>
      </c>
      <c r="AO210" s="184">
        <v>6</v>
      </c>
    </row>
    <row r="211" spans="33:41" x14ac:dyDescent="0.25">
      <c r="AG211" s="65"/>
      <c r="AH211" s="65"/>
      <c r="AJ211" s="184" t="s">
        <v>380</v>
      </c>
      <c r="AK211" s="184" t="s">
        <v>143</v>
      </c>
      <c r="AL211" s="184" t="s">
        <v>1430</v>
      </c>
      <c r="AM211" s="184" t="s">
        <v>1444</v>
      </c>
      <c r="AN211" s="184" t="s">
        <v>137</v>
      </c>
      <c r="AO211" s="184">
        <v>6</v>
      </c>
    </row>
    <row r="212" spans="33:41" x14ac:dyDescent="0.25">
      <c r="AG212" s="65"/>
      <c r="AH212" s="65"/>
      <c r="AJ212" s="184" t="s">
        <v>381</v>
      </c>
      <c r="AK212" s="184" t="s">
        <v>143</v>
      </c>
      <c r="AL212" s="184" t="s">
        <v>1430</v>
      </c>
      <c r="AM212" s="184" t="s">
        <v>1444</v>
      </c>
      <c r="AN212" s="184" t="s">
        <v>137</v>
      </c>
      <c r="AO212" s="184">
        <v>6</v>
      </c>
    </row>
    <row r="213" spans="33:41" x14ac:dyDescent="0.25">
      <c r="AG213" s="65"/>
      <c r="AH213" s="65"/>
      <c r="AJ213" s="184" t="s">
        <v>382</v>
      </c>
      <c r="AK213" s="184" t="s">
        <v>143</v>
      </c>
      <c r="AL213" s="184" t="s">
        <v>1430</v>
      </c>
      <c r="AM213" s="184" t="s">
        <v>1444</v>
      </c>
      <c r="AN213" s="184" t="s">
        <v>137</v>
      </c>
      <c r="AO213" s="184">
        <v>6</v>
      </c>
    </row>
    <row r="214" spans="33:41" x14ac:dyDescent="0.25">
      <c r="AG214" s="65"/>
      <c r="AH214" s="65"/>
      <c r="AJ214" s="184" t="s">
        <v>383</v>
      </c>
      <c r="AK214" s="184" t="s">
        <v>143</v>
      </c>
      <c r="AL214" s="184" t="s">
        <v>1430</v>
      </c>
      <c r="AM214" s="184" t="s">
        <v>1453</v>
      </c>
      <c r="AN214" s="184" t="s">
        <v>137</v>
      </c>
      <c r="AO214" s="184">
        <v>6</v>
      </c>
    </row>
    <row r="215" spans="33:41" x14ac:dyDescent="0.25">
      <c r="AG215" s="65"/>
      <c r="AH215" s="65"/>
      <c r="AJ215" s="184" t="s">
        <v>384</v>
      </c>
      <c r="AK215" s="184" t="s">
        <v>143</v>
      </c>
      <c r="AL215" s="184" t="s">
        <v>1430</v>
      </c>
      <c r="AM215" s="184" t="s">
        <v>1457</v>
      </c>
      <c r="AN215" s="184" t="s">
        <v>137</v>
      </c>
      <c r="AO215" s="184">
        <v>6</v>
      </c>
    </row>
    <row r="216" spans="33:41" x14ac:dyDescent="0.25">
      <c r="AG216" s="65"/>
      <c r="AH216" s="65"/>
      <c r="AJ216" s="184" t="s">
        <v>385</v>
      </c>
      <c r="AK216" s="184" t="s">
        <v>143</v>
      </c>
      <c r="AL216" s="184" t="s">
        <v>1430</v>
      </c>
      <c r="AM216" s="184" t="s">
        <v>1455</v>
      </c>
      <c r="AN216" s="184" t="s">
        <v>137</v>
      </c>
      <c r="AO216" s="184">
        <v>6</v>
      </c>
    </row>
    <row r="217" spans="33:41" x14ac:dyDescent="0.25">
      <c r="AG217" s="65"/>
      <c r="AH217" s="65"/>
      <c r="AJ217" s="184" t="s">
        <v>386</v>
      </c>
      <c r="AK217" s="184" t="s">
        <v>143</v>
      </c>
      <c r="AL217" s="184" t="s">
        <v>1430</v>
      </c>
      <c r="AM217" s="184" t="s">
        <v>1453</v>
      </c>
      <c r="AN217" s="184" t="s">
        <v>137</v>
      </c>
      <c r="AO217" s="184">
        <v>6</v>
      </c>
    </row>
    <row r="218" spans="33:41" x14ac:dyDescent="0.25">
      <c r="AG218" s="65"/>
      <c r="AH218" s="65"/>
      <c r="AJ218" s="184" t="s">
        <v>387</v>
      </c>
      <c r="AK218" s="184" t="s">
        <v>155</v>
      </c>
      <c r="AL218" s="184" t="s">
        <v>1430</v>
      </c>
      <c r="AM218" s="184" t="s">
        <v>1444</v>
      </c>
      <c r="AN218" s="184" t="s">
        <v>137</v>
      </c>
      <c r="AO218" s="184">
        <v>12</v>
      </c>
    </row>
    <row r="219" spans="33:41" x14ac:dyDescent="0.25">
      <c r="AG219" s="65"/>
      <c r="AH219" s="65"/>
      <c r="AJ219" s="184" t="s">
        <v>388</v>
      </c>
      <c r="AK219" s="184" t="s">
        <v>155</v>
      </c>
      <c r="AL219" s="184" t="s">
        <v>1430</v>
      </c>
      <c r="AM219" s="184" t="s">
        <v>1459</v>
      </c>
      <c r="AN219" s="184" t="s">
        <v>137</v>
      </c>
      <c r="AO219" s="184">
        <v>12</v>
      </c>
    </row>
    <row r="220" spans="33:41" x14ac:dyDescent="0.25">
      <c r="AG220" s="65"/>
      <c r="AH220" s="65"/>
      <c r="AJ220" s="184" t="s">
        <v>389</v>
      </c>
      <c r="AK220" s="184" t="s">
        <v>60</v>
      </c>
      <c r="AL220" s="184" t="s">
        <v>1430</v>
      </c>
      <c r="AM220" s="184" t="s">
        <v>1467</v>
      </c>
      <c r="AN220" s="184" t="s">
        <v>137</v>
      </c>
      <c r="AO220" s="184">
        <v>12</v>
      </c>
    </row>
    <row r="221" spans="33:41" x14ac:dyDescent="0.25">
      <c r="AG221" s="65"/>
      <c r="AH221" s="65"/>
      <c r="AJ221" s="184" t="s">
        <v>390</v>
      </c>
      <c r="AK221" s="184" t="s">
        <v>98</v>
      </c>
      <c r="AL221" s="184" t="s">
        <v>1430</v>
      </c>
      <c r="AM221" s="184" t="s">
        <v>1467</v>
      </c>
      <c r="AN221" s="184" t="s">
        <v>137</v>
      </c>
      <c r="AO221" s="184">
        <v>12</v>
      </c>
    </row>
    <row r="222" spans="33:41" x14ac:dyDescent="0.25">
      <c r="AG222" s="65"/>
      <c r="AH222" s="65"/>
      <c r="AJ222" s="184" t="s">
        <v>391</v>
      </c>
      <c r="AK222" s="184" t="s">
        <v>102</v>
      </c>
      <c r="AL222" s="184" t="s">
        <v>1430</v>
      </c>
      <c r="AM222" s="184" t="s">
        <v>1444</v>
      </c>
      <c r="AN222" s="184" t="s">
        <v>137</v>
      </c>
      <c r="AO222" s="184">
        <v>12</v>
      </c>
    </row>
    <row r="223" spans="33:41" x14ac:dyDescent="0.25">
      <c r="AG223" s="65"/>
      <c r="AH223" s="65"/>
      <c r="AJ223" s="184" t="s">
        <v>392</v>
      </c>
      <c r="AK223" s="184" t="s">
        <v>96</v>
      </c>
      <c r="AL223" s="184" t="s">
        <v>1430</v>
      </c>
      <c r="AM223" s="184" t="s">
        <v>1467</v>
      </c>
      <c r="AN223" s="184" t="s">
        <v>137</v>
      </c>
      <c r="AO223" s="184">
        <v>12</v>
      </c>
    </row>
    <row r="224" spans="33:41" x14ac:dyDescent="0.25">
      <c r="AG224" s="65"/>
      <c r="AH224" s="65"/>
      <c r="AJ224" s="184" t="s">
        <v>393</v>
      </c>
      <c r="AK224" s="184" t="s">
        <v>83</v>
      </c>
      <c r="AL224" s="184" t="s">
        <v>1430</v>
      </c>
      <c r="AM224" s="184" t="s">
        <v>1445</v>
      </c>
      <c r="AN224" s="184" t="s">
        <v>137</v>
      </c>
      <c r="AO224" s="184">
        <v>12</v>
      </c>
    </row>
    <row r="225" spans="33:41" x14ac:dyDescent="0.25">
      <c r="AG225" s="65"/>
      <c r="AH225" s="65"/>
      <c r="AJ225" s="184" t="s">
        <v>394</v>
      </c>
      <c r="AK225" s="184" t="s">
        <v>83</v>
      </c>
      <c r="AL225" s="184" t="s">
        <v>1430</v>
      </c>
      <c r="AM225" s="184" t="s">
        <v>1467</v>
      </c>
      <c r="AN225" s="184" t="s">
        <v>137</v>
      </c>
      <c r="AO225" s="184">
        <v>12</v>
      </c>
    </row>
    <row r="226" spans="33:41" x14ac:dyDescent="0.25">
      <c r="AG226" s="65"/>
      <c r="AH226" s="65"/>
      <c r="AJ226" s="184" t="s">
        <v>395</v>
      </c>
      <c r="AK226" s="184" t="s">
        <v>102</v>
      </c>
      <c r="AL226" s="184" t="s">
        <v>1430</v>
      </c>
      <c r="AM226" s="184" t="s">
        <v>1445</v>
      </c>
      <c r="AN226" s="184" t="s">
        <v>137</v>
      </c>
      <c r="AO226" s="184">
        <v>12</v>
      </c>
    </row>
    <row r="227" spans="33:41" x14ac:dyDescent="0.25">
      <c r="AG227" s="65"/>
      <c r="AH227" s="65"/>
      <c r="AJ227" s="184" t="s">
        <v>396</v>
      </c>
      <c r="AK227" s="184" t="s">
        <v>83</v>
      </c>
      <c r="AL227" s="184" t="s">
        <v>1430</v>
      </c>
      <c r="AM227" s="184" t="s">
        <v>1467</v>
      </c>
      <c r="AN227" s="184" t="s">
        <v>137</v>
      </c>
      <c r="AO227" s="184">
        <v>12</v>
      </c>
    </row>
    <row r="228" spans="33:41" x14ac:dyDescent="0.25">
      <c r="AG228" s="65"/>
      <c r="AH228" s="65"/>
      <c r="AJ228" s="184" t="s">
        <v>397</v>
      </c>
      <c r="AK228" s="184" t="s">
        <v>83</v>
      </c>
      <c r="AL228" s="184" t="s">
        <v>1430</v>
      </c>
      <c r="AM228" s="184" t="s">
        <v>1445</v>
      </c>
      <c r="AN228" s="184" t="s">
        <v>137</v>
      </c>
      <c r="AO228" s="184">
        <v>12</v>
      </c>
    </row>
    <row r="229" spans="33:41" x14ac:dyDescent="0.25">
      <c r="AG229" s="65"/>
      <c r="AH229" s="65"/>
      <c r="AJ229" s="184" t="s">
        <v>398</v>
      </c>
      <c r="AK229" s="184" t="s">
        <v>96</v>
      </c>
      <c r="AL229" s="184" t="s">
        <v>1430</v>
      </c>
      <c r="AM229" s="184" t="s">
        <v>1467</v>
      </c>
      <c r="AN229" s="184" t="s">
        <v>137</v>
      </c>
      <c r="AO229" s="184">
        <v>12</v>
      </c>
    </row>
    <row r="230" spans="33:41" x14ac:dyDescent="0.25">
      <c r="AG230" s="65"/>
      <c r="AH230" s="65"/>
      <c r="AJ230" s="184" t="s">
        <v>399</v>
      </c>
      <c r="AK230" s="184" t="s">
        <v>1392</v>
      </c>
      <c r="AL230" s="184" t="s">
        <v>1430</v>
      </c>
      <c r="AM230" s="184" t="s">
        <v>1457</v>
      </c>
      <c r="AN230" s="184" t="s">
        <v>137</v>
      </c>
      <c r="AO230" s="184">
        <v>12</v>
      </c>
    </row>
    <row r="231" spans="33:41" x14ac:dyDescent="0.25">
      <c r="AG231" s="65"/>
      <c r="AH231" s="65"/>
      <c r="AJ231" s="184" t="s">
        <v>400</v>
      </c>
      <c r="AK231" s="184" t="s">
        <v>96</v>
      </c>
      <c r="AL231" s="184" t="s">
        <v>1430</v>
      </c>
      <c r="AM231" s="184" t="s">
        <v>1457</v>
      </c>
      <c r="AN231" s="184" t="s">
        <v>137</v>
      </c>
      <c r="AO231" s="184">
        <v>12</v>
      </c>
    </row>
    <row r="232" spans="33:41" x14ac:dyDescent="0.25">
      <c r="AG232" s="65"/>
      <c r="AH232" s="65"/>
      <c r="AJ232" s="184" t="s">
        <v>401</v>
      </c>
      <c r="AK232" s="184" t="s">
        <v>83</v>
      </c>
      <c r="AL232" s="184" t="s">
        <v>1430</v>
      </c>
      <c r="AM232" s="184" t="s">
        <v>1459</v>
      </c>
      <c r="AN232" s="184" t="s">
        <v>137</v>
      </c>
      <c r="AO232" s="184">
        <v>12</v>
      </c>
    </row>
    <row r="233" spans="33:41" x14ac:dyDescent="0.25">
      <c r="AG233" s="65"/>
      <c r="AH233" s="65"/>
      <c r="AJ233" s="184" t="s">
        <v>402</v>
      </c>
      <c r="AK233" s="184" t="s">
        <v>83</v>
      </c>
      <c r="AL233" s="184" t="s">
        <v>1430</v>
      </c>
      <c r="AM233" s="184" t="s">
        <v>1467</v>
      </c>
      <c r="AN233" s="184" t="s">
        <v>137</v>
      </c>
      <c r="AO233" s="184">
        <v>12</v>
      </c>
    </row>
    <row r="234" spans="33:41" x14ac:dyDescent="0.25">
      <c r="AG234" s="65"/>
      <c r="AH234" s="65"/>
      <c r="AJ234" s="184" t="s">
        <v>403</v>
      </c>
      <c r="AK234" s="184" t="s">
        <v>102</v>
      </c>
      <c r="AL234" s="184" t="s">
        <v>1430</v>
      </c>
      <c r="AM234" s="184" t="s">
        <v>1445</v>
      </c>
      <c r="AN234" s="184" t="s">
        <v>137</v>
      </c>
      <c r="AO234" s="184">
        <v>12</v>
      </c>
    </row>
    <row r="235" spans="33:41" x14ac:dyDescent="0.25">
      <c r="AG235" s="65"/>
      <c r="AH235" s="65"/>
      <c r="AJ235" s="184" t="s">
        <v>404</v>
      </c>
      <c r="AK235" s="184" t="s">
        <v>83</v>
      </c>
      <c r="AL235" s="184" t="s">
        <v>1430</v>
      </c>
      <c r="AM235" s="184" t="s">
        <v>1467</v>
      </c>
      <c r="AN235" s="184" t="s">
        <v>137</v>
      </c>
      <c r="AO235" s="184">
        <v>12</v>
      </c>
    </row>
    <row r="236" spans="33:41" x14ac:dyDescent="0.25">
      <c r="AG236" s="65"/>
      <c r="AH236" s="65"/>
      <c r="AJ236" s="184" t="s">
        <v>405</v>
      </c>
      <c r="AK236" s="184" t="s">
        <v>96</v>
      </c>
      <c r="AL236" s="184" t="s">
        <v>1430</v>
      </c>
      <c r="AM236" s="184" t="s">
        <v>1450</v>
      </c>
      <c r="AN236" s="184" t="s">
        <v>137</v>
      </c>
      <c r="AO236" s="184">
        <v>12</v>
      </c>
    </row>
    <row r="237" spans="33:41" x14ac:dyDescent="0.25">
      <c r="AG237" s="65"/>
      <c r="AH237" s="65"/>
      <c r="AJ237" s="184" t="s">
        <v>406</v>
      </c>
      <c r="AK237" s="184" t="s">
        <v>100</v>
      </c>
      <c r="AL237" s="184" t="s">
        <v>1430</v>
      </c>
      <c r="AM237" s="184" t="s">
        <v>1450</v>
      </c>
      <c r="AN237" s="184" t="s">
        <v>137</v>
      </c>
      <c r="AO237" s="184">
        <v>12</v>
      </c>
    </row>
    <row r="238" spans="33:41" x14ac:dyDescent="0.25">
      <c r="AG238" s="65"/>
      <c r="AH238" s="65"/>
      <c r="AJ238" s="184" t="s">
        <v>407</v>
      </c>
      <c r="AK238" s="184" t="s">
        <v>102</v>
      </c>
      <c r="AL238" s="184" t="s">
        <v>1430</v>
      </c>
      <c r="AM238" s="184" t="s">
        <v>1453</v>
      </c>
      <c r="AN238" s="184" t="s">
        <v>137</v>
      </c>
      <c r="AO238" s="184">
        <v>12</v>
      </c>
    </row>
    <row r="239" spans="33:41" x14ac:dyDescent="0.25">
      <c r="AG239" s="65"/>
      <c r="AH239" s="65"/>
      <c r="AJ239" s="184" t="s">
        <v>408</v>
      </c>
      <c r="AK239" s="184" t="s">
        <v>102</v>
      </c>
      <c r="AL239" s="184" t="s">
        <v>1430</v>
      </c>
      <c r="AM239" s="184" t="s">
        <v>1453</v>
      </c>
      <c r="AN239" s="184" t="s">
        <v>137</v>
      </c>
      <c r="AO239" s="184">
        <v>12</v>
      </c>
    </row>
    <row r="240" spans="33:41" x14ac:dyDescent="0.25">
      <c r="AG240" s="65"/>
      <c r="AH240" s="65"/>
      <c r="AJ240" s="184" t="s">
        <v>409</v>
      </c>
      <c r="AK240" s="184" t="s">
        <v>102</v>
      </c>
      <c r="AL240" s="184" t="s">
        <v>1430</v>
      </c>
      <c r="AM240" s="184" t="s">
        <v>1453</v>
      </c>
      <c r="AN240" s="184" t="s">
        <v>137</v>
      </c>
      <c r="AO240" s="184">
        <v>12</v>
      </c>
    </row>
    <row r="241" spans="33:41" x14ac:dyDescent="0.25">
      <c r="AG241" s="65"/>
      <c r="AH241" s="65"/>
      <c r="AJ241" s="184" t="s">
        <v>410</v>
      </c>
      <c r="AK241" s="184" t="s">
        <v>96</v>
      </c>
      <c r="AL241" s="184" t="s">
        <v>1430</v>
      </c>
      <c r="AM241" s="184" t="s">
        <v>1467</v>
      </c>
      <c r="AN241" s="184" t="s">
        <v>137</v>
      </c>
      <c r="AO241" s="184">
        <v>12</v>
      </c>
    </row>
    <row r="242" spans="33:41" x14ac:dyDescent="0.25">
      <c r="AG242" s="65"/>
      <c r="AH242" s="65"/>
      <c r="AJ242" s="184" t="s">
        <v>411</v>
      </c>
      <c r="AK242" s="184" t="s">
        <v>83</v>
      </c>
      <c r="AL242" s="184" t="s">
        <v>1430</v>
      </c>
      <c r="AM242" s="184" t="s">
        <v>1444</v>
      </c>
      <c r="AN242" s="184" t="s">
        <v>137</v>
      </c>
      <c r="AO242" s="184">
        <v>12</v>
      </c>
    </row>
    <row r="243" spans="33:41" x14ac:dyDescent="0.25">
      <c r="AG243" s="65"/>
      <c r="AH243" s="65"/>
      <c r="AJ243" s="184" t="s">
        <v>412</v>
      </c>
      <c r="AK243" s="184" t="s">
        <v>102</v>
      </c>
      <c r="AL243" s="184" t="s">
        <v>1430</v>
      </c>
      <c r="AM243" s="184" t="s">
        <v>1453</v>
      </c>
      <c r="AN243" s="184" t="s">
        <v>137</v>
      </c>
      <c r="AO243" s="184">
        <v>12</v>
      </c>
    </row>
    <row r="244" spans="33:41" x14ac:dyDescent="0.25">
      <c r="AG244" s="65"/>
      <c r="AH244" s="65"/>
      <c r="AJ244" s="184" t="s">
        <v>413</v>
      </c>
      <c r="AK244" s="184" t="s">
        <v>83</v>
      </c>
      <c r="AL244" s="184" t="s">
        <v>1430</v>
      </c>
      <c r="AM244" s="184" t="s">
        <v>1467</v>
      </c>
      <c r="AN244" s="184" t="s">
        <v>137</v>
      </c>
      <c r="AO244" s="184">
        <v>12</v>
      </c>
    </row>
    <row r="245" spans="33:41" x14ac:dyDescent="0.25">
      <c r="AG245" s="65"/>
      <c r="AH245" s="65"/>
      <c r="AJ245" s="184" t="s">
        <v>414</v>
      </c>
      <c r="AK245" s="184" t="s">
        <v>83</v>
      </c>
      <c r="AL245" s="184" t="s">
        <v>1430</v>
      </c>
      <c r="AM245" s="184" t="s">
        <v>1470</v>
      </c>
      <c r="AN245" s="184" t="s">
        <v>137</v>
      </c>
      <c r="AO245" s="184">
        <v>12</v>
      </c>
    </row>
    <row r="246" spans="33:41" x14ac:dyDescent="0.25">
      <c r="AG246" s="65"/>
      <c r="AH246" s="65"/>
      <c r="AJ246" s="184" t="s">
        <v>415</v>
      </c>
      <c r="AK246" s="184" t="s">
        <v>96</v>
      </c>
      <c r="AL246" s="184" t="s">
        <v>1430</v>
      </c>
      <c r="AM246" s="184" t="s">
        <v>1453</v>
      </c>
      <c r="AN246" s="184" t="s">
        <v>137</v>
      </c>
      <c r="AO246" s="184">
        <v>12</v>
      </c>
    </row>
    <row r="247" spans="33:41" x14ac:dyDescent="0.25">
      <c r="AG247" s="65"/>
      <c r="AH247" s="65"/>
      <c r="AJ247" s="184" t="s">
        <v>416</v>
      </c>
      <c r="AK247" s="184" t="s">
        <v>98</v>
      </c>
      <c r="AL247" s="184" t="s">
        <v>1430</v>
      </c>
      <c r="AM247" s="184" t="s">
        <v>1453</v>
      </c>
      <c r="AN247" s="184" t="s">
        <v>137</v>
      </c>
      <c r="AO247" s="184">
        <v>12</v>
      </c>
    </row>
    <row r="248" spans="33:41" x14ac:dyDescent="0.25">
      <c r="AG248" s="65"/>
      <c r="AH248" s="65"/>
      <c r="AJ248" s="184" t="s">
        <v>417</v>
      </c>
      <c r="AK248" s="184" t="s">
        <v>96</v>
      </c>
      <c r="AL248" s="184" t="s">
        <v>1430</v>
      </c>
      <c r="AM248" s="184" t="s">
        <v>1457</v>
      </c>
      <c r="AN248" s="184" t="s">
        <v>137</v>
      </c>
      <c r="AO248" s="184">
        <v>12</v>
      </c>
    </row>
    <row r="249" spans="33:41" x14ac:dyDescent="0.25">
      <c r="AG249" s="65"/>
      <c r="AH249" s="65"/>
      <c r="AJ249" s="184" t="s">
        <v>418</v>
      </c>
      <c r="AK249" s="184" t="s">
        <v>102</v>
      </c>
      <c r="AL249" s="184" t="s">
        <v>1430</v>
      </c>
      <c r="AM249" s="184" t="s">
        <v>1444</v>
      </c>
      <c r="AN249" s="184" t="s">
        <v>137</v>
      </c>
      <c r="AO249" s="184">
        <v>12</v>
      </c>
    </row>
    <row r="250" spans="33:41" x14ac:dyDescent="0.25">
      <c r="AG250" s="65"/>
      <c r="AH250" s="65"/>
      <c r="AJ250" s="184" t="s">
        <v>419</v>
      </c>
      <c r="AK250" s="184" t="s">
        <v>102</v>
      </c>
      <c r="AL250" s="184" t="s">
        <v>1430</v>
      </c>
      <c r="AM250" s="184" t="s">
        <v>1453</v>
      </c>
      <c r="AN250" s="184" t="s">
        <v>137</v>
      </c>
      <c r="AO250" s="184">
        <v>12</v>
      </c>
    </row>
    <row r="251" spans="33:41" x14ac:dyDescent="0.25">
      <c r="AG251" s="65"/>
      <c r="AH251" s="65"/>
      <c r="AJ251" s="184" t="s">
        <v>420</v>
      </c>
      <c r="AK251" s="184" t="s">
        <v>83</v>
      </c>
      <c r="AL251" s="184" t="s">
        <v>1430</v>
      </c>
      <c r="AM251" s="184" t="s">
        <v>1444</v>
      </c>
      <c r="AN251" s="184" t="s">
        <v>137</v>
      </c>
      <c r="AO251" s="184">
        <v>12</v>
      </c>
    </row>
    <row r="252" spans="33:41" x14ac:dyDescent="0.25">
      <c r="AG252" s="65"/>
      <c r="AH252" s="65"/>
      <c r="AJ252" s="184" t="s">
        <v>421</v>
      </c>
      <c r="AK252" s="184" t="s">
        <v>144</v>
      </c>
      <c r="AL252" s="184" t="s">
        <v>1430</v>
      </c>
      <c r="AM252" s="184" t="s">
        <v>1450</v>
      </c>
      <c r="AN252" s="184" t="s">
        <v>137</v>
      </c>
      <c r="AO252" s="184">
        <v>12</v>
      </c>
    </row>
    <row r="253" spans="33:41" x14ac:dyDescent="0.25">
      <c r="AG253" s="65"/>
      <c r="AH253" s="65"/>
      <c r="AJ253" s="184" t="s">
        <v>422</v>
      </c>
      <c r="AK253" s="184" t="s">
        <v>144</v>
      </c>
      <c r="AL253" s="184" t="s">
        <v>1430</v>
      </c>
      <c r="AM253" s="184" t="s">
        <v>1450</v>
      </c>
      <c r="AN253" s="184" t="s">
        <v>137</v>
      </c>
      <c r="AO253" s="184">
        <v>12</v>
      </c>
    </row>
    <row r="254" spans="33:41" x14ac:dyDescent="0.25">
      <c r="AG254" s="65"/>
      <c r="AH254" s="65"/>
      <c r="AJ254" s="184" t="s">
        <v>423</v>
      </c>
      <c r="AK254" s="184" t="s">
        <v>144</v>
      </c>
      <c r="AL254" s="184" t="s">
        <v>1430</v>
      </c>
      <c r="AM254" s="184" t="s">
        <v>1467</v>
      </c>
      <c r="AN254" s="184" t="s">
        <v>137</v>
      </c>
      <c r="AO254" s="184">
        <v>12</v>
      </c>
    </row>
    <row r="255" spans="33:41" x14ac:dyDescent="0.25">
      <c r="AG255" s="65"/>
      <c r="AH255" s="65"/>
      <c r="AJ255" s="184" t="s">
        <v>424</v>
      </c>
      <c r="AK255" s="184" t="s">
        <v>144</v>
      </c>
      <c r="AL255" s="184" t="s">
        <v>1430</v>
      </c>
      <c r="AM255" s="184" t="s">
        <v>1467</v>
      </c>
      <c r="AN255" s="184" t="s">
        <v>137</v>
      </c>
      <c r="AO255" s="184">
        <v>12</v>
      </c>
    </row>
    <row r="256" spans="33:41" x14ac:dyDescent="0.25">
      <c r="AG256" s="65"/>
      <c r="AH256" s="65"/>
      <c r="AJ256" s="184" t="s">
        <v>425</v>
      </c>
      <c r="AK256" s="184" t="s">
        <v>140</v>
      </c>
      <c r="AL256" s="184" t="s">
        <v>1430</v>
      </c>
      <c r="AM256" s="184" t="s">
        <v>1474</v>
      </c>
      <c r="AN256" s="184" t="s">
        <v>1538</v>
      </c>
      <c r="AO256" s="184">
        <v>12</v>
      </c>
    </row>
    <row r="257" spans="33:41" x14ac:dyDescent="0.25">
      <c r="AG257" s="65"/>
      <c r="AH257" s="65"/>
      <c r="AJ257" s="184" t="s">
        <v>426</v>
      </c>
      <c r="AK257" s="184" t="s">
        <v>140</v>
      </c>
      <c r="AL257" s="184" t="s">
        <v>1430</v>
      </c>
      <c r="AM257" s="184" t="s">
        <v>59</v>
      </c>
      <c r="AN257" s="184" t="s">
        <v>1537</v>
      </c>
      <c r="AO257" s="184">
        <v>12</v>
      </c>
    </row>
    <row r="258" spans="33:41" x14ac:dyDescent="0.25">
      <c r="AG258" s="65"/>
      <c r="AH258" s="65"/>
      <c r="AJ258" s="184" t="s">
        <v>427</v>
      </c>
      <c r="AK258" s="184" t="s">
        <v>140</v>
      </c>
      <c r="AL258" s="184" t="s">
        <v>1430</v>
      </c>
      <c r="AM258" s="184" t="s">
        <v>1475</v>
      </c>
      <c r="AN258" s="184" t="s">
        <v>1538</v>
      </c>
      <c r="AO258" s="184">
        <v>12</v>
      </c>
    </row>
    <row r="259" spans="33:41" x14ac:dyDescent="0.25">
      <c r="AG259" s="65"/>
      <c r="AH259" s="65"/>
      <c r="AJ259" s="184" t="s">
        <v>428</v>
      </c>
      <c r="AK259" s="184" t="s">
        <v>140</v>
      </c>
      <c r="AL259" s="184" t="s">
        <v>1430</v>
      </c>
      <c r="AM259" s="184" t="s">
        <v>1475</v>
      </c>
      <c r="AN259" s="184" t="s">
        <v>1538</v>
      </c>
      <c r="AO259" s="184">
        <v>12</v>
      </c>
    </row>
    <row r="260" spans="33:41" x14ac:dyDescent="0.25">
      <c r="AG260" s="65"/>
      <c r="AH260" s="65"/>
      <c r="AJ260" s="184" t="s">
        <v>429</v>
      </c>
      <c r="AK260" s="184" t="s">
        <v>1393</v>
      </c>
      <c r="AL260" s="184" t="s">
        <v>1431</v>
      </c>
      <c r="AM260" s="184" t="s">
        <v>1476</v>
      </c>
      <c r="AN260" s="184" t="s">
        <v>1538</v>
      </c>
      <c r="AO260" s="184">
        <v>12</v>
      </c>
    </row>
    <row r="261" spans="33:41" x14ac:dyDescent="0.25">
      <c r="AG261" s="65"/>
      <c r="AH261" s="65"/>
      <c r="AJ261" s="184" t="s">
        <v>430</v>
      </c>
      <c r="AK261" s="184" t="s">
        <v>140</v>
      </c>
      <c r="AL261" s="184" t="s">
        <v>1430</v>
      </c>
      <c r="AM261" s="184" t="s">
        <v>1474</v>
      </c>
      <c r="AN261" s="184" t="s">
        <v>1538</v>
      </c>
      <c r="AO261" s="184">
        <v>12</v>
      </c>
    </row>
    <row r="262" spans="33:41" x14ac:dyDescent="0.25">
      <c r="AG262" s="65"/>
      <c r="AH262" s="65"/>
      <c r="AJ262" s="184" t="s">
        <v>431</v>
      </c>
      <c r="AK262" s="184" t="s">
        <v>140</v>
      </c>
      <c r="AL262" s="184" t="s">
        <v>1430</v>
      </c>
      <c r="AM262" s="184" t="s">
        <v>59</v>
      </c>
      <c r="AN262" s="184" t="s">
        <v>1537</v>
      </c>
      <c r="AO262" s="184">
        <v>12</v>
      </c>
    </row>
    <row r="263" spans="33:41" x14ac:dyDescent="0.25">
      <c r="AG263" s="65"/>
      <c r="AH263" s="65"/>
      <c r="AJ263" s="184" t="s">
        <v>432</v>
      </c>
      <c r="AK263" s="184" t="s">
        <v>1393</v>
      </c>
      <c r="AL263" s="184" t="s">
        <v>1430</v>
      </c>
      <c r="AM263" s="184" t="s">
        <v>1477</v>
      </c>
      <c r="AN263" s="184" t="s">
        <v>1538</v>
      </c>
      <c r="AO263" s="184">
        <v>12</v>
      </c>
    </row>
    <row r="264" spans="33:41" x14ac:dyDescent="0.25">
      <c r="AG264" s="65"/>
      <c r="AH264" s="65"/>
      <c r="AJ264" s="184" t="s">
        <v>433</v>
      </c>
      <c r="AK264" s="184" t="s">
        <v>140</v>
      </c>
      <c r="AL264" s="184" t="s">
        <v>1430</v>
      </c>
      <c r="AM264" s="184" t="s">
        <v>1478</v>
      </c>
      <c r="AN264" s="184" t="s">
        <v>1538</v>
      </c>
      <c r="AO264" s="184">
        <v>12</v>
      </c>
    </row>
    <row r="265" spans="33:41" x14ac:dyDescent="0.25">
      <c r="AG265" s="65"/>
      <c r="AH265" s="65"/>
      <c r="AJ265" s="184" t="s">
        <v>434</v>
      </c>
      <c r="AK265" s="184" t="s">
        <v>140</v>
      </c>
      <c r="AL265" s="184" t="s">
        <v>1430</v>
      </c>
      <c r="AM265" s="184" t="s">
        <v>1479</v>
      </c>
      <c r="AN265" s="184" t="s">
        <v>1538</v>
      </c>
      <c r="AO265" s="184">
        <v>12</v>
      </c>
    </row>
    <row r="266" spans="33:41" x14ac:dyDescent="0.25">
      <c r="AG266" s="65"/>
      <c r="AH266" s="65"/>
      <c r="AJ266" s="184" t="s">
        <v>435</v>
      </c>
      <c r="AK266" s="184" t="s">
        <v>136</v>
      </c>
      <c r="AL266" s="184" t="s">
        <v>1430</v>
      </c>
      <c r="AM266" s="184" t="s">
        <v>59</v>
      </c>
      <c r="AN266" s="184" t="s">
        <v>1537</v>
      </c>
      <c r="AO266" s="184">
        <v>6</v>
      </c>
    </row>
    <row r="267" spans="33:41" x14ac:dyDescent="0.25">
      <c r="AG267" s="65"/>
      <c r="AH267" s="65"/>
      <c r="AJ267" s="184" t="s">
        <v>436</v>
      </c>
      <c r="AK267" s="184" t="s">
        <v>136</v>
      </c>
      <c r="AL267" s="184" t="s">
        <v>1430</v>
      </c>
      <c r="AM267" s="184" t="s">
        <v>1480</v>
      </c>
      <c r="AN267" s="184" t="s">
        <v>1538</v>
      </c>
      <c r="AO267" s="184">
        <v>6</v>
      </c>
    </row>
    <row r="268" spans="33:41" x14ac:dyDescent="0.25">
      <c r="AG268" s="65"/>
      <c r="AH268" s="65"/>
      <c r="AJ268" s="184" t="s">
        <v>437</v>
      </c>
      <c r="AK268" s="184" t="s">
        <v>136</v>
      </c>
      <c r="AL268" s="184" t="s">
        <v>1430</v>
      </c>
      <c r="AM268" s="184" t="s">
        <v>1478</v>
      </c>
      <c r="AN268" s="184" t="s">
        <v>1538</v>
      </c>
      <c r="AO268" s="184">
        <v>6</v>
      </c>
    </row>
    <row r="269" spans="33:41" x14ac:dyDescent="0.25">
      <c r="AG269" s="65"/>
      <c r="AH269" s="65"/>
      <c r="AJ269" s="184" t="s">
        <v>438</v>
      </c>
      <c r="AK269" s="184" t="s">
        <v>136</v>
      </c>
      <c r="AL269" s="184" t="s">
        <v>1430</v>
      </c>
      <c r="AM269" s="184" t="s">
        <v>1476</v>
      </c>
      <c r="AN269" s="184" t="s">
        <v>1538</v>
      </c>
      <c r="AO269" s="184">
        <v>6</v>
      </c>
    </row>
    <row r="270" spans="33:41" x14ac:dyDescent="0.25">
      <c r="AG270" s="65"/>
      <c r="AH270" s="65"/>
      <c r="AJ270" s="184" t="s">
        <v>439</v>
      </c>
      <c r="AK270" s="184" t="s">
        <v>136</v>
      </c>
      <c r="AL270" s="184" t="s">
        <v>1430</v>
      </c>
      <c r="AM270" s="184" t="s">
        <v>1481</v>
      </c>
      <c r="AN270" s="184" t="s">
        <v>1539</v>
      </c>
      <c r="AO270" s="184">
        <v>6</v>
      </c>
    </row>
    <row r="271" spans="33:41" x14ac:dyDescent="0.25">
      <c r="AG271" s="65"/>
      <c r="AH271" s="65"/>
      <c r="AJ271" s="184" t="s">
        <v>440</v>
      </c>
      <c r="AK271" s="184" t="s">
        <v>136</v>
      </c>
      <c r="AL271" s="184" t="s">
        <v>1430</v>
      </c>
      <c r="AM271" s="184" t="s">
        <v>1481</v>
      </c>
      <c r="AN271" s="184" t="s">
        <v>1539</v>
      </c>
      <c r="AO271" s="184">
        <v>6</v>
      </c>
    </row>
    <row r="272" spans="33:41" x14ac:dyDescent="0.25">
      <c r="AG272" s="65"/>
      <c r="AH272" s="65"/>
      <c r="AJ272" s="184" t="s">
        <v>441</v>
      </c>
      <c r="AK272" s="184" t="s">
        <v>136</v>
      </c>
      <c r="AL272" s="184" t="s">
        <v>1430</v>
      </c>
      <c r="AM272" s="184" t="s">
        <v>1481</v>
      </c>
      <c r="AN272" s="184" t="s">
        <v>1539</v>
      </c>
      <c r="AO272" s="184">
        <v>6</v>
      </c>
    </row>
    <row r="273" spans="33:41" x14ac:dyDescent="0.25">
      <c r="AG273" s="65"/>
      <c r="AH273" s="65"/>
      <c r="AJ273" s="184" t="s">
        <v>442</v>
      </c>
      <c r="AK273" s="184" t="s">
        <v>136</v>
      </c>
      <c r="AL273" s="184" t="s">
        <v>1430</v>
      </c>
      <c r="AM273" s="184" t="s">
        <v>1475</v>
      </c>
      <c r="AN273" s="184" t="s">
        <v>1538</v>
      </c>
      <c r="AO273" s="184">
        <v>6</v>
      </c>
    </row>
    <row r="274" spans="33:41" x14ac:dyDescent="0.25">
      <c r="AG274" s="65"/>
      <c r="AH274" s="65"/>
      <c r="AJ274" s="184" t="s">
        <v>443</v>
      </c>
      <c r="AK274" s="184" t="s">
        <v>136</v>
      </c>
      <c r="AL274" s="184" t="s">
        <v>1430</v>
      </c>
      <c r="AM274" s="184" t="s">
        <v>1479</v>
      </c>
      <c r="AN274" s="184" t="s">
        <v>1538</v>
      </c>
      <c r="AO274" s="184">
        <v>6</v>
      </c>
    </row>
    <row r="275" spans="33:41" x14ac:dyDescent="0.25">
      <c r="AG275" s="65"/>
      <c r="AH275" s="65"/>
      <c r="AJ275" s="184" t="s">
        <v>444</v>
      </c>
      <c r="AK275" s="184" t="s">
        <v>136</v>
      </c>
      <c r="AL275" s="184" t="s">
        <v>1430</v>
      </c>
      <c r="AM275" s="184" t="s">
        <v>1482</v>
      </c>
      <c r="AN275" s="184" t="s">
        <v>1538</v>
      </c>
      <c r="AO275" s="184">
        <v>6</v>
      </c>
    </row>
    <row r="276" spans="33:41" x14ac:dyDescent="0.25">
      <c r="AG276" s="65"/>
      <c r="AH276" s="65"/>
      <c r="AJ276" s="184" t="s">
        <v>445</v>
      </c>
      <c r="AK276" s="184" t="s">
        <v>136</v>
      </c>
      <c r="AL276" s="184" t="s">
        <v>1430</v>
      </c>
      <c r="AM276" s="184" t="s">
        <v>1483</v>
      </c>
      <c r="AN276" s="184" t="s">
        <v>1538</v>
      </c>
      <c r="AO276" s="184">
        <v>6</v>
      </c>
    </row>
    <row r="277" spans="33:41" x14ac:dyDescent="0.25">
      <c r="AG277" s="65"/>
      <c r="AH277" s="65"/>
      <c r="AJ277" s="184" t="s">
        <v>446</v>
      </c>
      <c r="AK277" s="184" t="s">
        <v>1394</v>
      </c>
      <c r="AL277" s="184" t="s">
        <v>1430</v>
      </c>
      <c r="AM277" s="184" t="s">
        <v>1484</v>
      </c>
      <c r="AN277" s="184" t="s">
        <v>1538</v>
      </c>
      <c r="AO277" s="184">
        <v>6</v>
      </c>
    </row>
    <row r="278" spans="33:41" x14ac:dyDescent="0.25">
      <c r="AG278" s="65"/>
      <c r="AH278" s="65"/>
      <c r="AJ278" s="184" t="s">
        <v>447</v>
      </c>
      <c r="AK278" s="184" t="s">
        <v>136</v>
      </c>
      <c r="AL278" s="184" t="s">
        <v>1430</v>
      </c>
      <c r="AM278" s="184" t="s">
        <v>1485</v>
      </c>
      <c r="AN278" s="184" t="s">
        <v>1538</v>
      </c>
      <c r="AO278" s="184">
        <v>6</v>
      </c>
    </row>
    <row r="279" spans="33:41" x14ac:dyDescent="0.25">
      <c r="AG279" s="65"/>
      <c r="AH279" s="65"/>
      <c r="AJ279" s="184" t="s">
        <v>448</v>
      </c>
      <c r="AK279" s="184" t="s">
        <v>136</v>
      </c>
      <c r="AL279" s="184" t="s">
        <v>1430</v>
      </c>
      <c r="AM279" s="184" t="s">
        <v>1486</v>
      </c>
      <c r="AN279" s="184" t="s">
        <v>1538</v>
      </c>
      <c r="AO279" s="184">
        <v>6</v>
      </c>
    </row>
    <row r="280" spans="33:41" x14ac:dyDescent="0.25">
      <c r="AG280" s="65"/>
      <c r="AH280" s="65"/>
      <c r="AJ280" s="184" t="s">
        <v>449</v>
      </c>
      <c r="AK280" s="184" t="s">
        <v>136</v>
      </c>
      <c r="AL280" s="184" t="s">
        <v>1430</v>
      </c>
      <c r="AM280" s="184" t="s">
        <v>1487</v>
      </c>
      <c r="AN280" s="184" t="s">
        <v>1538</v>
      </c>
      <c r="AO280" s="184">
        <v>6</v>
      </c>
    </row>
    <row r="281" spans="33:41" x14ac:dyDescent="0.25">
      <c r="AG281" s="65"/>
      <c r="AH281" s="65"/>
      <c r="AJ281" s="184" t="s">
        <v>450</v>
      </c>
      <c r="AK281" s="184" t="s">
        <v>136</v>
      </c>
      <c r="AL281" s="184" t="s">
        <v>1430</v>
      </c>
      <c r="AM281" s="184" t="s">
        <v>1474</v>
      </c>
      <c r="AN281" s="184" t="s">
        <v>1538</v>
      </c>
      <c r="AO281" s="184">
        <v>6</v>
      </c>
    </row>
    <row r="282" spans="33:41" x14ac:dyDescent="0.25">
      <c r="AG282" s="65"/>
      <c r="AH282" s="65"/>
      <c r="AJ282" s="184" t="s">
        <v>451</v>
      </c>
      <c r="AK282" s="184" t="s">
        <v>136</v>
      </c>
      <c r="AL282" s="184" t="s">
        <v>1430</v>
      </c>
      <c r="AM282" s="184" t="s">
        <v>1486</v>
      </c>
      <c r="AN282" s="184" t="s">
        <v>1538</v>
      </c>
      <c r="AO282" s="184">
        <v>6</v>
      </c>
    </row>
    <row r="283" spans="33:41" x14ac:dyDescent="0.25">
      <c r="AG283" s="65"/>
      <c r="AH283" s="65"/>
      <c r="AJ283" s="184" t="s">
        <v>452</v>
      </c>
      <c r="AK283" s="184" t="s">
        <v>136</v>
      </c>
      <c r="AL283" s="184" t="s">
        <v>1430</v>
      </c>
      <c r="AM283" s="184" t="s">
        <v>1488</v>
      </c>
      <c r="AN283" s="184" t="s">
        <v>1538</v>
      </c>
      <c r="AO283" s="184">
        <v>6</v>
      </c>
    </row>
    <row r="284" spans="33:41" x14ac:dyDescent="0.25">
      <c r="AG284" s="65"/>
      <c r="AH284" s="65"/>
      <c r="AJ284" s="184" t="s">
        <v>453</v>
      </c>
      <c r="AK284" s="184" t="s">
        <v>136</v>
      </c>
      <c r="AL284" s="184" t="s">
        <v>1430</v>
      </c>
      <c r="AM284" s="184" t="s">
        <v>1485</v>
      </c>
      <c r="AN284" s="184" t="s">
        <v>1538</v>
      </c>
      <c r="AO284" s="184">
        <v>6</v>
      </c>
    </row>
    <row r="285" spans="33:41" x14ac:dyDescent="0.25">
      <c r="AG285" s="65"/>
      <c r="AH285" s="65"/>
      <c r="AJ285" s="184" t="s">
        <v>454</v>
      </c>
      <c r="AK285" s="184" t="s">
        <v>136</v>
      </c>
      <c r="AL285" s="184" t="s">
        <v>1430</v>
      </c>
      <c r="AM285" s="184" t="s">
        <v>1489</v>
      </c>
      <c r="AN285" s="184" t="s">
        <v>1538</v>
      </c>
      <c r="AO285" s="184">
        <v>6</v>
      </c>
    </row>
    <row r="286" spans="33:41" x14ac:dyDescent="0.25">
      <c r="AG286" s="65"/>
      <c r="AH286" s="65"/>
      <c r="AJ286" s="184" t="s">
        <v>455</v>
      </c>
      <c r="AK286" s="184" t="s">
        <v>136</v>
      </c>
      <c r="AL286" s="184" t="s">
        <v>1430</v>
      </c>
      <c r="AM286" s="184" t="s">
        <v>1490</v>
      </c>
      <c r="AN286" s="184" t="s">
        <v>1538</v>
      </c>
      <c r="AO286" s="184">
        <v>6</v>
      </c>
    </row>
    <row r="287" spans="33:41" x14ac:dyDescent="0.25">
      <c r="AG287" s="65"/>
      <c r="AH287" s="65"/>
      <c r="AJ287" s="184" t="s">
        <v>456</v>
      </c>
      <c r="AK287" s="184" t="s">
        <v>136</v>
      </c>
      <c r="AL287" s="184" t="s">
        <v>1430</v>
      </c>
      <c r="AM287" s="184" t="s">
        <v>1491</v>
      </c>
      <c r="AN287" s="184" t="s">
        <v>1538</v>
      </c>
      <c r="AO287" s="184">
        <v>6</v>
      </c>
    </row>
    <row r="288" spans="33:41" x14ac:dyDescent="0.25">
      <c r="AG288" s="65"/>
      <c r="AH288" s="65"/>
      <c r="AJ288" s="184" t="s">
        <v>457</v>
      </c>
      <c r="AK288" s="184" t="s">
        <v>136</v>
      </c>
      <c r="AL288" s="184" t="s">
        <v>1430</v>
      </c>
      <c r="AM288" s="184" t="s">
        <v>1475</v>
      </c>
      <c r="AN288" s="184" t="s">
        <v>1538</v>
      </c>
      <c r="AO288" s="184">
        <v>6</v>
      </c>
    </row>
    <row r="289" spans="33:41" x14ac:dyDescent="0.25">
      <c r="AG289" s="65"/>
      <c r="AH289" s="65"/>
      <c r="AJ289" s="184" t="s">
        <v>458</v>
      </c>
      <c r="AK289" s="184" t="s">
        <v>132</v>
      </c>
      <c r="AL289" s="184" t="s">
        <v>1430</v>
      </c>
      <c r="AM289" s="184" t="s">
        <v>1485</v>
      </c>
      <c r="AN289" s="184" t="s">
        <v>1538</v>
      </c>
      <c r="AO289" s="184">
        <v>12</v>
      </c>
    </row>
    <row r="290" spans="33:41" x14ac:dyDescent="0.25">
      <c r="AG290" s="65"/>
      <c r="AH290" s="65"/>
      <c r="AJ290" s="184" t="s">
        <v>459</v>
      </c>
      <c r="AK290" s="184" t="s">
        <v>132</v>
      </c>
      <c r="AL290" s="184" t="s">
        <v>1430</v>
      </c>
      <c r="AM290" s="184" t="s">
        <v>1485</v>
      </c>
      <c r="AN290" s="184" t="s">
        <v>1538</v>
      </c>
      <c r="AO290" s="184">
        <v>12</v>
      </c>
    </row>
    <row r="291" spans="33:41" x14ac:dyDescent="0.25">
      <c r="AG291" s="65"/>
      <c r="AH291" s="65"/>
      <c r="AJ291" s="184" t="s">
        <v>460</v>
      </c>
      <c r="AK291" s="184" t="s">
        <v>132</v>
      </c>
      <c r="AL291" s="184" t="s">
        <v>1430</v>
      </c>
      <c r="AM291" s="184" t="s">
        <v>1485</v>
      </c>
      <c r="AN291" s="184" t="s">
        <v>1538</v>
      </c>
      <c r="AO291" s="184">
        <v>12</v>
      </c>
    </row>
    <row r="292" spans="33:41" x14ac:dyDescent="0.25">
      <c r="AG292" s="65"/>
      <c r="AH292" s="65"/>
      <c r="AJ292" s="184" t="s">
        <v>461</v>
      </c>
      <c r="AK292" s="184" t="s">
        <v>132</v>
      </c>
      <c r="AL292" s="184" t="s">
        <v>1430</v>
      </c>
      <c r="AM292" s="184" t="s">
        <v>1485</v>
      </c>
      <c r="AN292" s="184" t="s">
        <v>1538</v>
      </c>
      <c r="AO292" s="184">
        <v>12</v>
      </c>
    </row>
    <row r="293" spans="33:41" x14ac:dyDescent="0.25">
      <c r="AG293" s="65"/>
      <c r="AH293" s="65"/>
      <c r="AJ293" s="184" t="s">
        <v>462</v>
      </c>
      <c r="AK293" s="184" t="s">
        <v>132</v>
      </c>
      <c r="AL293" s="184" t="s">
        <v>1430</v>
      </c>
      <c r="AM293" s="184" t="s">
        <v>1485</v>
      </c>
      <c r="AN293" s="184" t="s">
        <v>1538</v>
      </c>
      <c r="AO293" s="184">
        <v>12</v>
      </c>
    </row>
    <row r="294" spans="33:41" x14ac:dyDescent="0.25">
      <c r="AG294" s="65"/>
      <c r="AH294" s="65"/>
      <c r="AJ294" s="184" t="s">
        <v>463</v>
      </c>
      <c r="AK294" s="184" t="s">
        <v>132</v>
      </c>
      <c r="AL294" s="184" t="s">
        <v>1431</v>
      </c>
      <c r="AM294" s="184" t="s">
        <v>1485</v>
      </c>
      <c r="AN294" s="184" t="s">
        <v>1538</v>
      </c>
      <c r="AO294" s="184">
        <v>12</v>
      </c>
    </row>
    <row r="295" spans="33:41" x14ac:dyDescent="0.25">
      <c r="AG295" s="65"/>
      <c r="AH295" s="65"/>
      <c r="AJ295" s="184" t="s">
        <v>464</v>
      </c>
      <c r="AK295" s="184" t="s">
        <v>132</v>
      </c>
      <c r="AL295" s="184" t="s">
        <v>1431</v>
      </c>
      <c r="AM295" s="184" t="s">
        <v>1485</v>
      </c>
      <c r="AN295" s="184" t="s">
        <v>1538</v>
      </c>
      <c r="AO295" s="184">
        <v>12</v>
      </c>
    </row>
    <row r="296" spans="33:41" x14ac:dyDescent="0.25">
      <c r="AG296" s="65"/>
      <c r="AH296" s="65"/>
      <c r="AJ296" s="184" t="s">
        <v>465</v>
      </c>
      <c r="AK296" s="184" t="s">
        <v>132</v>
      </c>
      <c r="AL296" s="184" t="s">
        <v>1431</v>
      </c>
      <c r="AM296" s="184" t="s">
        <v>1485</v>
      </c>
      <c r="AN296" s="184" t="s">
        <v>1538</v>
      </c>
      <c r="AO296" s="184">
        <v>12</v>
      </c>
    </row>
    <row r="297" spans="33:41" x14ac:dyDescent="0.25">
      <c r="AG297" s="65"/>
      <c r="AH297" s="65"/>
      <c r="AJ297" s="184" t="s">
        <v>466</v>
      </c>
      <c r="AK297" s="184" t="s">
        <v>132</v>
      </c>
      <c r="AL297" s="184" t="s">
        <v>1430</v>
      </c>
      <c r="AM297" s="184" t="s">
        <v>1474</v>
      </c>
      <c r="AN297" s="184" t="s">
        <v>1538</v>
      </c>
      <c r="AO297" s="184">
        <v>12</v>
      </c>
    </row>
    <row r="298" spans="33:41" x14ac:dyDescent="0.25">
      <c r="AG298" s="65"/>
      <c r="AH298" s="65"/>
      <c r="AJ298" s="184" t="s">
        <v>467</v>
      </c>
      <c r="AK298" s="184" t="s">
        <v>132</v>
      </c>
      <c r="AL298" s="184" t="s">
        <v>1430</v>
      </c>
      <c r="AM298" s="184" t="s">
        <v>1474</v>
      </c>
      <c r="AN298" s="184" t="s">
        <v>1538</v>
      </c>
      <c r="AO298" s="184">
        <v>12</v>
      </c>
    </row>
    <row r="299" spans="33:41" x14ac:dyDescent="0.25">
      <c r="AG299" s="65"/>
      <c r="AH299" s="65"/>
      <c r="AJ299" s="184" t="s">
        <v>468</v>
      </c>
      <c r="AK299" s="184" t="s">
        <v>132</v>
      </c>
      <c r="AL299" s="184" t="s">
        <v>1430</v>
      </c>
      <c r="AM299" s="184" t="s">
        <v>1480</v>
      </c>
      <c r="AN299" s="184" t="s">
        <v>1538</v>
      </c>
      <c r="AO299" s="184">
        <v>12</v>
      </c>
    </row>
    <row r="300" spans="33:41" x14ac:dyDescent="0.25">
      <c r="AG300" s="65"/>
      <c r="AH300" s="65"/>
      <c r="AJ300" s="184" t="s">
        <v>469</v>
      </c>
      <c r="AK300" s="184" t="s">
        <v>132</v>
      </c>
      <c r="AL300" s="184" t="s">
        <v>1430</v>
      </c>
      <c r="AM300" s="184" t="s">
        <v>1489</v>
      </c>
      <c r="AN300" s="184" t="s">
        <v>1538</v>
      </c>
      <c r="AO300" s="184">
        <v>12</v>
      </c>
    </row>
    <row r="301" spans="33:41" x14ac:dyDescent="0.25">
      <c r="AG301" s="65"/>
      <c r="AH301" s="65"/>
      <c r="AJ301" s="184" t="s">
        <v>470</v>
      </c>
      <c r="AK301" s="184" t="s">
        <v>132</v>
      </c>
      <c r="AL301" s="184" t="s">
        <v>1430</v>
      </c>
      <c r="AM301" s="184" t="s">
        <v>1489</v>
      </c>
      <c r="AN301" s="184" t="s">
        <v>1538</v>
      </c>
      <c r="AO301" s="184">
        <v>12</v>
      </c>
    </row>
    <row r="302" spans="33:41" x14ac:dyDescent="0.25">
      <c r="AG302" s="65"/>
      <c r="AH302" s="65"/>
      <c r="AJ302" s="184" t="s">
        <v>471</v>
      </c>
      <c r="AK302" s="184" t="s">
        <v>132</v>
      </c>
      <c r="AL302" s="184" t="s">
        <v>1430</v>
      </c>
      <c r="AM302" s="184" t="s">
        <v>1489</v>
      </c>
      <c r="AN302" s="184" t="s">
        <v>1538</v>
      </c>
      <c r="AO302" s="184">
        <v>12</v>
      </c>
    </row>
    <row r="303" spans="33:41" x14ac:dyDescent="0.25">
      <c r="AG303" s="65"/>
      <c r="AH303" s="65"/>
      <c r="AJ303" s="184" t="s">
        <v>472</v>
      </c>
      <c r="AK303" s="184" t="s">
        <v>132</v>
      </c>
      <c r="AL303" s="184" t="s">
        <v>1430</v>
      </c>
      <c r="AM303" s="184" t="s">
        <v>1474</v>
      </c>
      <c r="AN303" s="184" t="s">
        <v>1538</v>
      </c>
      <c r="AO303" s="184">
        <v>12</v>
      </c>
    </row>
    <row r="304" spans="33:41" x14ac:dyDescent="0.25">
      <c r="AG304" s="65"/>
      <c r="AH304" s="65"/>
      <c r="AJ304" s="184" t="s">
        <v>473</v>
      </c>
      <c r="AK304" s="184" t="s">
        <v>132</v>
      </c>
      <c r="AL304" s="184" t="s">
        <v>1430</v>
      </c>
      <c r="AM304" s="184" t="s">
        <v>1485</v>
      </c>
      <c r="AN304" s="184" t="s">
        <v>1538</v>
      </c>
      <c r="AO304" s="184">
        <v>12</v>
      </c>
    </row>
    <row r="305" spans="33:41" x14ac:dyDescent="0.25">
      <c r="AG305" s="65"/>
      <c r="AH305" s="65"/>
      <c r="AJ305" s="184" t="s">
        <v>474</v>
      </c>
      <c r="AK305" s="184" t="s">
        <v>132</v>
      </c>
      <c r="AL305" s="184" t="s">
        <v>1430</v>
      </c>
      <c r="AM305" s="184" t="s">
        <v>1474</v>
      </c>
      <c r="AN305" s="184" t="s">
        <v>1538</v>
      </c>
      <c r="AO305" s="184">
        <v>12</v>
      </c>
    </row>
    <row r="306" spans="33:41" x14ac:dyDescent="0.25">
      <c r="AG306" s="65"/>
      <c r="AH306" s="65"/>
      <c r="AJ306" s="184" t="s">
        <v>475</v>
      </c>
      <c r="AK306" s="184" t="s">
        <v>132</v>
      </c>
      <c r="AL306" s="184" t="s">
        <v>1430</v>
      </c>
      <c r="AM306" s="184" t="s">
        <v>1475</v>
      </c>
      <c r="AN306" s="184" t="s">
        <v>1538</v>
      </c>
      <c r="AO306" s="184">
        <v>12</v>
      </c>
    </row>
    <row r="307" spans="33:41" x14ac:dyDescent="0.25">
      <c r="AG307" s="65"/>
      <c r="AH307" s="65"/>
      <c r="AJ307" s="184" t="s">
        <v>476</v>
      </c>
      <c r="AK307" s="184" t="s">
        <v>132</v>
      </c>
      <c r="AL307" s="184" t="s">
        <v>1430</v>
      </c>
      <c r="AM307" s="184" t="s">
        <v>1485</v>
      </c>
      <c r="AN307" s="184" t="s">
        <v>1538</v>
      </c>
      <c r="AO307" s="184">
        <v>12</v>
      </c>
    </row>
    <row r="308" spans="33:41" x14ac:dyDescent="0.25">
      <c r="AG308" s="65"/>
      <c r="AH308" s="65"/>
      <c r="AJ308" s="184" t="s">
        <v>477</v>
      </c>
      <c r="AK308" s="184" t="s">
        <v>132</v>
      </c>
      <c r="AL308" s="184" t="s">
        <v>1430</v>
      </c>
      <c r="AM308" s="184" t="s">
        <v>1485</v>
      </c>
      <c r="AN308" s="184" t="s">
        <v>1538</v>
      </c>
      <c r="AO308" s="184">
        <v>12</v>
      </c>
    </row>
    <row r="309" spans="33:41" x14ac:dyDescent="0.25">
      <c r="AG309" s="65"/>
      <c r="AH309" s="65"/>
      <c r="AJ309" s="184" t="s">
        <v>478</v>
      </c>
      <c r="AK309" s="184" t="s">
        <v>132</v>
      </c>
      <c r="AL309" s="184" t="s">
        <v>1430</v>
      </c>
      <c r="AM309" s="184" t="s">
        <v>1485</v>
      </c>
      <c r="AN309" s="184" t="s">
        <v>1538</v>
      </c>
      <c r="AO309" s="184">
        <v>12</v>
      </c>
    </row>
    <row r="310" spans="33:41" x14ac:dyDescent="0.25">
      <c r="AG310" s="65"/>
      <c r="AH310" s="65"/>
      <c r="AJ310" s="184" t="s">
        <v>479</v>
      </c>
      <c r="AK310" s="184" t="s">
        <v>132</v>
      </c>
      <c r="AL310" s="184" t="s">
        <v>1430</v>
      </c>
      <c r="AM310" s="184" t="s">
        <v>1475</v>
      </c>
      <c r="AN310" s="184" t="s">
        <v>1538</v>
      </c>
      <c r="AO310" s="184">
        <v>12</v>
      </c>
    </row>
    <row r="311" spans="33:41" x14ac:dyDescent="0.25">
      <c r="AG311" s="65"/>
      <c r="AH311" s="65"/>
      <c r="AJ311" s="184" t="s">
        <v>480</v>
      </c>
      <c r="AK311" s="184" t="s">
        <v>132</v>
      </c>
      <c r="AL311" s="184" t="s">
        <v>1430</v>
      </c>
      <c r="AM311" s="184" t="s">
        <v>1489</v>
      </c>
      <c r="AN311" s="184" t="s">
        <v>1538</v>
      </c>
      <c r="AO311" s="184">
        <v>12</v>
      </c>
    </row>
    <row r="312" spans="33:41" x14ac:dyDescent="0.25">
      <c r="AG312" s="65"/>
      <c r="AH312" s="65"/>
      <c r="AJ312" s="184" t="s">
        <v>481</v>
      </c>
      <c r="AK312" s="184" t="s">
        <v>154</v>
      </c>
      <c r="AL312" s="184" t="s">
        <v>1431</v>
      </c>
      <c r="AM312" s="184" t="s">
        <v>1476</v>
      </c>
      <c r="AN312" s="184" t="s">
        <v>1538</v>
      </c>
      <c r="AO312" s="184">
        <v>12</v>
      </c>
    </row>
    <row r="313" spans="33:41" x14ac:dyDescent="0.25">
      <c r="AG313" s="65"/>
      <c r="AH313" s="65"/>
      <c r="AJ313" s="184" t="s">
        <v>482</v>
      </c>
      <c r="AK313" s="184" t="s">
        <v>132</v>
      </c>
      <c r="AL313" s="184" t="s">
        <v>1430</v>
      </c>
      <c r="AM313" s="184" t="s">
        <v>1477</v>
      </c>
      <c r="AN313" s="184" t="s">
        <v>1538</v>
      </c>
      <c r="AO313" s="184">
        <v>12</v>
      </c>
    </row>
    <row r="314" spans="33:41" x14ac:dyDescent="0.25">
      <c r="AG314" s="65"/>
      <c r="AH314" s="65"/>
      <c r="AJ314" s="184" t="s">
        <v>483</v>
      </c>
      <c r="AK314" s="184" t="s">
        <v>132</v>
      </c>
      <c r="AL314" s="184" t="s">
        <v>1430</v>
      </c>
      <c r="AM314" s="184" t="s">
        <v>1475</v>
      </c>
      <c r="AN314" s="184" t="s">
        <v>1538</v>
      </c>
      <c r="AO314" s="184">
        <v>12</v>
      </c>
    </row>
    <row r="315" spans="33:41" x14ac:dyDescent="0.25">
      <c r="AG315" s="65"/>
      <c r="AH315" s="65"/>
      <c r="AJ315" s="184" t="s">
        <v>484</v>
      </c>
      <c r="AK315" s="184" t="s">
        <v>132</v>
      </c>
      <c r="AL315" s="184" t="s">
        <v>1430</v>
      </c>
      <c r="AM315" s="184" t="s">
        <v>1475</v>
      </c>
      <c r="AN315" s="184" t="s">
        <v>1538</v>
      </c>
      <c r="AO315" s="184">
        <v>12</v>
      </c>
    </row>
    <row r="316" spans="33:41" x14ac:dyDescent="0.25">
      <c r="AG316" s="65"/>
      <c r="AH316" s="65"/>
      <c r="AJ316" s="184" t="s">
        <v>485</v>
      </c>
      <c r="AK316" s="184" t="s">
        <v>132</v>
      </c>
      <c r="AL316" s="184" t="s">
        <v>1430</v>
      </c>
      <c r="AM316" s="184" t="s">
        <v>1475</v>
      </c>
      <c r="AN316" s="184" t="s">
        <v>1538</v>
      </c>
      <c r="AO316" s="184">
        <v>12</v>
      </c>
    </row>
    <row r="317" spans="33:41" x14ac:dyDescent="0.25">
      <c r="AG317" s="65"/>
      <c r="AH317" s="65"/>
      <c r="AJ317" s="184" t="s">
        <v>486</v>
      </c>
      <c r="AK317" s="184" t="s">
        <v>132</v>
      </c>
      <c r="AL317" s="184" t="s">
        <v>1430</v>
      </c>
      <c r="AM317" s="184" t="s">
        <v>1475</v>
      </c>
      <c r="AN317" s="184" t="s">
        <v>1538</v>
      </c>
      <c r="AO317" s="184">
        <v>12</v>
      </c>
    </row>
    <row r="318" spans="33:41" x14ac:dyDescent="0.25">
      <c r="AG318" s="65"/>
      <c r="AH318" s="65"/>
      <c r="AJ318" s="184" t="s">
        <v>487</v>
      </c>
      <c r="AK318" s="184" t="s">
        <v>135</v>
      </c>
      <c r="AL318" s="184" t="s">
        <v>1430</v>
      </c>
      <c r="AM318" s="184" t="s">
        <v>1483</v>
      </c>
      <c r="AN318" s="184" t="s">
        <v>1538</v>
      </c>
      <c r="AO318" s="184">
        <v>12</v>
      </c>
    </row>
    <row r="319" spans="33:41" x14ac:dyDescent="0.25">
      <c r="AG319" s="65"/>
      <c r="AH319" s="65"/>
      <c r="AJ319" s="184" t="s">
        <v>488</v>
      </c>
      <c r="AK319" s="184" t="s">
        <v>135</v>
      </c>
      <c r="AL319" s="184" t="s">
        <v>1430</v>
      </c>
      <c r="AM319" s="184" t="s">
        <v>1483</v>
      </c>
      <c r="AN319" s="184" t="s">
        <v>1538</v>
      </c>
      <c r="AO319" s="184">
        <v>12</v>
      </c>
    </row>
    <row r="320" spans="33:41" x14ac:dyDescent="0.25">
      <c r="AG320" s="65"/>
      <c r="AH320" s="65"/>
      <c r="AJ320" s="184" t="s">
        <v>489</v>
      </c>
      <c r="AK320" s="184" t="s">
        <v>135</v>
      </c>
      <c r="AL320" s="184" t="s">
        <v>1430</v>
      </c>
      <c r="AM320" s="184" t="s">
        <v>1483</v>
      </c>
      <c r="AN320" s="184" t="s">
        <v>1538</v>
      </c>
      <c r="AO320" s="184">
        <v>12</v>
      </c>
    </row>
    <row r="321" spans="33:41" x14ac:dyDescent="0.25">
      <c r="AG321" s="65"/>
      <c r="AH321" s="65"/>
      <c r="AJ321" s="184" t="s">
        <v>490</v>
      </c>
      <c r="AK321" s="184" t="s">
        <v>135</v>
      </c>
      <c r="AL321" s="184" t="s">
        <v>1430</v>
      </c>
      <c r="AM321" s="184" t="s">
        <v>1485</v>
      </c>
      <c r="AN321" s="184" t="s">
        <v>1538</v>
      </c>
      <c r="AO321" s="184">
        <v>12</v>
      </c>
    </row>
    <row r="322" spans="33:41" x14ac:dyDescent="0.25">
      <c r="AG322" s="65"/>
      <c r="AH322" s="65"/>
      <c r="AJ322" s="184" t="s">
        <v>491</v>
      </c>
      <c r="AK322" s="184" t="s">
        <v>135</v>
      </c>
      <c r="AL322" s="184" t="s">
        <v>1430</v>
      </c>
      <c r="AM322" s="184" t="s">
        <v>1485</v>
      </c>
      <c r="AN322" s="184" t="s">
        <v>1538</v>
      </c>
      <c r="AO322" s="184">
        <v>12</v>
      </c>
    </row>
    <row r="323" spans="33:41" x14ac:dyDescent="0.25">
      <c r="AG323" s="65"/>
      <c r="AH323" s="65"/>
      <c r="AJ323" s="184" t="s">
        <v>492</v>
      </c>
      <c r="AK323" s="184" t="s">
        <v>135</v>
      </c>
      <c r="AL323" s="184" t="s">
        <v>1430</v>
      </c>
      <c r="AM323" s="184" t="s">
        <v>1485</v>
      </c>
      <c r="AN323" s="184" t="s">
        <v>1538</v>
      </c>
      <c r="AO323" s="184">
        <v>12</v>
      </c>
    </row>
    <row r="324" spans="33:41" x14ac:dyDescent="0.25">
      <c r="AG324" s="65"/>
      <c r="AH324" s="65"/>
      <c r="AJ324" s="184" t="s">
        <v>493</v>
      </c>
      <c r="AK324" s="184" t="s">
        <v>135</v>
      </c>
      <c r="AL324" s="184" t="s">
        <v>1430</v>
      </c>
      <c r="AM324" s="184" t="s">
        <v>1487</v>
      </c>
      <c r="AN324" s="184" t="s">
        <v>1538</v>
      </c>
      <c r="AO324" s="184">
        <v>12</v>
      </c>
    </row>
    <row r="325" spans="33:41" x14ac:dyDescent="0.25">
      <c r="AG325" s="65"/>
      <c r="AH325" s="65"/>
      <c r="AJ325" s="184" t="s">
        <v>494</v>
      </c>
      <c r="AK325" s="184" t="s">
        <v>135</v>
      </c>
      <c r="AL325" s="184" t="s">
        <v>1430</v>
      </c>
      <c r="AM325" s="184" t="s">
        <v>1483</v>
      </c>
      <c r="AN325" s="184" t="s">
        <v>1538</v>
      </c>
      <c r="AO325" s="184">
        <v>12</v>
      </c>
    </row>
    <row r="326" spans="33:41" x14ac:dyDescent="0.25">
      <c r="AG326" s="65"/>
      <c r="AH326" s="65"/>
      <c r="AJ326" s="184" t="s">
        <v>495</v>
      </c>
      <c r="AK326" s="184" t="s">
        <v>135</v>
      </c>
      <c r="AL326" s="184" t="s">
        <v>1430</v>
      </c>
      <c r="AM326" s="184" t="s">
        <v>1487</v>
      </c>
      <c r="AN326" s="184" t="s">
        <v>1538</v>
      </c>
      <c r="AO326" s="184">
        <v>12</v>
      </c>
    </row>
    <row r="327" spans="33:41" x14ac:dyDescent="0.25">
      <c r="AG327" s="65"/>
      <c r="AH327" s="65"/>
      <c r="AJ327" s="184" t="s">
        <v>496</v>
      </c>
      <c r="AK327" s="184" t="s">
        <v>135</v>
      </c>
      <c r="AL327" s="184" t="s">
        <v>1430</v>
      </c>
      <c r="AM327" s="184" t="s">
        <v>1487</v>
      </c>
      <c r="AN327" s="184" t="s">
        <v>1538</v>
      </c>
      <c r="AO327" s="184">
        <v>12</v>
      </c>
    </row>
    <row r="328" spans="33:41" x14ac:dyDescent="0.25">
      <c r="AG328" s="65"/>
      <c r="AH328" s="65"/>
      <c r="AJ328" s="184" t="s">
        <v>497</v>
      </c>
      <c r="AK328" s="184" t="s">
        <v>135</v>
      </c>
      <c r="AL328" s="184" t="s">
        <v>1430</v>
      </c>
      <c r="AM328" s="184" t="s">
        <v>1485</v>
      </c>
      <c r="AN328" s="184" t="s">
        <v>1538</v>
      </c>
      <c r="AO328" s="184">
        <v>12</v>
      </c>
    </row>
    <row r="329" spans="33:41" x14ac:dyDescent="0.25">
      <c r="AG329" s="65"/>
      <c r="AH329" s="65"/>
      <c r="AJ329" s="184" t="s">
        <v>498</v>
      </c>
      <c r="AK329" s="184" t="s">
        <v>135</v>
      </c>
      <c r="AL329" s="184" t="s">
        <v>1430</v>
      </c>
      <c r="AM329" s="184" t="s">
        <v>1482</v>
      </c>
      <c r="AN329" s="184" t="s">
        <v>1538</v>
      </c>
      <c r="AO329" s="184">
        <v>12</v>
      </c>
    </row>
    <row r="330" spans="33:41" x14ac:dyDescent="0.25">
      <c r="AG330" s="65"/>
      <c r="AH330" s="65"/>
      <c r="AJ330" s="184" t="s">
        <v>499</v>
      </c>
      <c r="AK330" s="184" t="s">
        <v>135</v>
      </c>
      <c r="AL330" s="184" t="s">
        <v>1430</v>
      </c>
      <c r="AM330" s="184" t="s">
        <v>1482</v>
      </c>
      <c r="AN330" s="184" t="s">
        <v>1538</v>
      </c>
      <c r="AO330" s="184">
        <v>12</v>
      </c>
    </row>
    <row r="331" spans="33:41" x14ac:dyDescent="0.25">
      <c r="AG331" s="65"/>
      <c r="AH331" s="65"/>
      <c r="AJ331" s="184" t="s">
        <v>500</v>
      </c>
      <c r="AK331" s="184" t="s">
        <v>135</v>
      </c>
      <c r="AL331" s="184" t="s">
        <v>1430</v>
      </c>
      <c r="AM331" s="184" t="s">
        <v>1482</v>
      </c>
      <c r="AN331" s="184" t="s">
        <v>1538</v>
      </c>
      <c r="AO331" s="184">
        <v>12</v>
      </c>
    </row>
    <row r="332" spans="33:41" x14ac:dyDescent="0.25">
      <c r="AG332" s="65"/>
      <c r="AH332" s="65"/>
      <c r="AJ332" s="184" t="s">
        <v>501</v>
      </c>
      <c r="AK332" s="184" t="s">
        <v>135</v>
      </c>
      <c r="AL332" s="184" t="s">
        <v>1430</v>
      </c>
      <c r="AM332" s="184" t="s">
        <v>1482</v>
      </c>
      <c r="AN332" s="184" t="s">
        <v>1538</v>
      </c>
      <c r="AO332" s="184">
        <v>12</v>
      </c>
    </row>
    <row r="333" spans="33:41" x14ac:dyDescent="0.25">
      <c r="AG333" s="65"/>
      <c r="AH333" s="65"/>
      <c r="AJ333" s="184" t="s">
        <v>502</v>
      </c>
      <c r="AK333" s="184" t="s">
        <v>135</v>
      </c>
      <c r="AL333" s="184" t="s">
        <v>1430</v>
      </c>
      <c r="AM333" s="184" t="s">
        <v>1491</v>
      </c>
      <c r="AN333" s="184" t="s">
        <v>1538</v>
      </c>
      <c r="AO333" s="184">
        <v>12</v>
      </c>
    </row>
    <row r="334" spans="33:41" x14ac:dyDescent="0.25">
      <c r="AG334" s="65"/>
      <c r="AH334" s="65"/>
      <c r="AJ334" s="184" t="s">
        <v>503</v>
      </c>
      <c r="AK334" s="184" t="s">
        <v>135</v>
      </c>
      <c r="AL334" s="184" t="s">
        <v>1430</v>
      </c>
      <c r="AM334" s="184" t="s">
        <v>1483</v>
      </c>
      <c r="AN334" s="184" t="s">
        <v>1538</v>
      </c>
      <c r="AO334" s="184">
        <v>12</v>
      </c>
    </row>
    <row r="335" spans="33:41" x14ac:dyDescent="0.25">
      <c r="AG335" s="65"/>
      <c r="AH335" s="65"/>
      <c r="AJ335" s="184" t="s">
        <v>504</v>
      </c>
      <c r="AK335" s="184" t="s">
        <v>135</v>
      </c>
      <c r="AL335" s="184" t="s">
        <v>1430</v>
      </c>
      <c r="AM335" s="184" t="s">
        <v>1483</v>
      </c>
      <c r="AN335" s="184" t="s">
        <v>1538</v>
      </c>
      <c r="AO335" s="184">
        <v>12</v>
      </c>
    </row>
    <row r="336" spans="33:41" x14ac:dyDescent="0.25">
      <c r="AG336" s="65"/>
      <c r="AH336" s="65"/>
      <c r="AJ336" s="184" t="s">
        <v>505</v>
      </c>
      <c r="AK336" s="184" t="s">
        <v>135</v>
      </c>
      <c r="AL336" s="184" t="s">
        <v>1430</v>
      </c>
      <c r="AM336" s="184" t="s">
        <v>1483</v>
      </c>
      <c r="AN336" s="184" t="s">
        <v>1538</v>
      </c>
      <c r="AO336" s="184">
        <v>12</v>
      </c>
    </row>
    <row r="337" spans="33:41" x14ac:dyDescent="0.25">
      <c r="AG337" s="65"/>
      <c r="AH337" s="65"/>
      <c r="AJ337" s="184" t="s">
        <v>506</v>
      </c>
      <c r="AK337" s="184" t="s">
        <v>135</v>
      </c>
      <c r="AL337" s="184" t="s">
        <v>1430</v>
      </c>
      <c r="AM337" s="184" t="s">
        <v>1483</v>
      </c>
      <c r="AN337" s="184" t="s">
        <v>1538</v>
      </c>
      <c r="AO337" s="184">
        <v>12</v>
      </c>
    </row>
    <row r="338" spans="33:41" x14ac:dyDescent="0.25">
      <c r="AG338" s="65"/>
      <c r="AH338" s="65"/>
      <c r="AJ338" s="184" t="s">
        <v>507</v>
      </c>
      <c r="AK338" s="184" t="s">
        <v>135</v>
      </c>
      <c r="AL338" s="184" t="s">
        <v>1430</v>
      </c>
      <c r="AM338" s="184" t="s">
        <v>1483</v>
      </c>
      <c r="AN338" s="184" t="s">
        <v>1538</v>
      </c>
      <c r="AO338" s="184">
        <v>12</v>
      </c>
    </row>
    <row r="339" spans="33:41" x14ac:dyDescent="0.25">
      <c r="AG339" s="65"/>
      <c r="AH339" s="65"/>
      <c r="AJ339" s="184" t="s">
        <v>508</v>
      </c>
      <c r="AK339" s="184" t="s">
        <v>135</v>
      </c>
      <c r="AL339" s="184" t="s">
        <v>1430</v>
      </c>
      <c r="AM339" s="184" t="s">
        <v>1483</v>
      </c>
      <c r="AN339" s="184" t="s">
        <v>1538</v>
      </c>
      <c r="AO339" s="184">
        <v>12</v>
      </c>
    </row>
    <row r="340" spans="33:41" x14ac:dyDescent="0.25">
      <c r="AG340" s="65"/>
      <c r="AH340" s="65"/>
      <c r="AJ340" s="184" t="s">
        <v>509</v>
      </c>
      <c r="AK340" s="184" t="s">
        <v>135</v>
      </c>
      <c r="AL340" s="184" t="s">
        <v>1430</v>
      </c>
      <c r="AM340" s="184" t="s">
        <v>1483</v>
      </c>
      <c r="AN340" s="184" t="s">
        <v>1538</v>
      </c>
      <c r="AO340" s="184">
        <v>12</v>
      </c>
    </row>
    <row r="341" spans="33:41" x14ac:dyDescent="0.25">
      <c r="AG341" s="65"/>
      <c r="AH341" s="65"/>
      <c r="AJ341" s="184" t="s">
        <v>510</v>
      </c>
      <c r="AK341" s="184" t="s">
        <v>135</v>
      </c>
      <c r="AL341" s="184" t="s">
        <v>1430</v>
      </c>
      <c r="AM341" s="184" t="s">
        <v>1483</v>
      </c>
      <c r="AN341" s="184" t="s">
        <v>1538</v>
      </c>
      <c r="AO341" s="184">
        <v>12</v>
      </c>
    </row>
    <row r="342" spans="33:41" x14ac:dyDescent="0.25">
      <c r="AG342" s="65"/>
      <c r="AH342" s="65"/>
      <c r="AJ342" s="184" t="s">
        <v>511</v>
      </c>
      <c r="AK342" s="184" t="s">
        <v>135</v>
      </c>
      <c r="AL342" s="184" t="s">
        <v>1430</v>
      </c>
      <c r="AM342" s="184" t="s">
        <v>1483</v>
      </c>
      <c r="AN342" s="184" t="s">
        <v>1538</v>
      </c>
      <c r="AO342" s="184">
        <v>12</v>
      </c>
    </row>
    <row r="343" spans="33:41" x14ac:dyDescent="0.25">
      <c r="AG343" s="65"/>
      <c r="AH343" s="65"/>
      <c r="AJ343" s="184" t="s">
        <v>512</v>
      </c>
      <c r="AK343" s="184" t="s">
        <v>135</v>
      </c>
      <c r="AL343" s="184" t="s">
        <v>1430</v>
      </c>
      <c r="AM343" s="184" t="s">
        <v>1483</v>
      </c>
      <c r="AN343" s="184" t="s">
        <v>1538</v>
      </c>
      <c r="AO343" s="184">
        <v>12</v>
      </c>
    </row>
    <row r="344" spans="33:41" x14ac:dyDescent="0.25">
      <c r="AG344" s="65"/>
      <c r="AH344" s="65"/>
      <c r="AJ344" s="184" t="s">
        <v>513</v>
      </c>
      <c r="AK344" s="184" t="s">
        <v>135</v>
      </c>
      <c r="AL344" s="184" t="s">
        <v>1430</v>
      </c>
      <c r="AM344" s="184" t="s">
        <v>1483</v>
      </c>
      <c r="AN344" s="184" t="s">
        <v>1538</v>
      </c>
      <c r="AO344" s="184">
        <v>12</v>
      </c>
    </row>
    <row r="345" spans="33:41" x14ac:dyDescent="0.25">
      <c r="AG345" s="65"/>
      <c r="AH345" s="65"/>
      <c r="AJ345" s="184" t="s">
        <v>514</v>
      </c>
      <c r="AK345" s="184" t="s">
        <v>135</v>
      </c>
      <c r="AL345" s="184" t="s">
        <v>1430</v>
      </c>
      <c r="AM345" s="184" t="s">
        <v>1483</v>
      </c>
      <c r="AN345" s="184" t="s">
        <v>1538</v>
      </c>
      <c r="AO345" s="184">
        <v>12</v>
      </c>
    </row>
    <row r="346" spans="33:41" x14ac:dyDescent="0.25">
      <c r="AG346" s="65"/>
      <c r="AH346" s="65"/>
      <c r="AJ346" s="184" t="s">
        <v>515</v>
      </c>
      <c r="AK346" s="184" t="s">
        <v>135</v>
      </c>
      <c r="AL346" s="184" t="s">
        <v>1430</v>
      </c>
      <c r="AM346" s="184" t="s">
        <v>1483</v>
      </c>
      <c r="AN346" s="184" t="s">
        <v>1538</v>
      </c>
      <c r="AO346" s="184">
        <v>12</v>
      </c>
    </row>
    <row r="347" spans="33:41" x14ac:dyDescent="0.25">
      <c r="AG347" s="65"/>
      <c r="AH347" s="65"/>
      <c r="AJ347" s="184" t="s">
        <v>516</v>
      </c>
      <c r="AK347" s="184" t="s">
        <v>135</v>
      </c>
      <c r="AL347" s="184" t="s">
        <v>1430</v>
      </c>
      <c r="AM347" s="184" t="s">
        <v>1483</v>
      </c>
      <c r="AN347" s="184" t="s">
        <v>1538</v>
      </c>
      <c r="AO347" s="184">
        <v>12</v>
      </c>
    </row>
    <row r="348" spans="33:41" x14ac:dyDescent="0.25">
      <c r="AG348" s="65"/>
      <c r="AH348" s="65"/>
      <c r="AJ348" s="184" t="s">
        <v>517</v>
      </c>
      <c r="AK348" s="184" t="s">
        <v>135</v>
      </c>
      <c r="AL348" s="184" t="s">
        <v>1430</v>
      </c>
      <c r="AM348" s="184" t="s">
        <v>1492</v>
      </c>
      <c r="AN348" s="184" t="s">
        <v>1538</v>
      </c>
      <c r="AO348" s="184">
        <v>12</v>
      </c>
    </row>
    <row r="349" spans="33:41" x14ac:dyDescent="0.25">
      <c r="AG349" s="65"/>
      <c r="AH349" s="65"/>
      <c r="AJ349" s="184" t="s">
        <v>518</v>
      </c>
      <c r="AK349" s="184" t="s">
        <v>135</v>
      </c>
      <c r="AL349" s="184" t="s">
        <v>1430</v>
      </c>
      <c r="AM349" s="184" t="s">
        <v>1492</v>
      </c>
      <c r="AN349" s="184" t="s">
        <v>1538</v>
      </c>
      <c r="AO349" s="184">
        <v>12</v>
      </c>
    </row>
    <row r="350" spans="33:41" x14ac:dyDescent="0.25">
      <c r="AG350" s="65"/>
      <c r="AH350" s="65"/>
      <c r="AJ350" s="184" t="s">
        <v>519</v>
      </c>
      <c r="AK350" s="184" t="s">
        <v>135</v>
      </c>
      <c r="AL350" s="184" t="s">
        <v>1430</v>
      </c>
      <c r="AM350" s="184" t="s">
        <v>1492</v>
      </c>
      <c r="AN350" s="184" t="s">
        <v>1538</v>
      </c>
      <c r="AO350" s="184">
        <v>12</v>
      </c>
    </row>
    <row r="351" spans="33:41" x14ac:dyDescent="0.25">
      <c r="AG351" s="65"/>
      <c r="AH351" s="65"/>
      <c r="AJ351" s="184" t="s">
        <v>520</v>
      </c>
      <c r="AK351" s="184" t="s">
        <v>135</v>
      </c>
      <c r="AL351" s="184" t="s">
        <v>1430</v>
      </c>
      <c r="AM351" s="184" t="s">
        <v>1492</v>
      </c>
      <c r="AN351" s="184" t="s">
        <v>1538</v>
      </c>
      <c r="AO351" s="184">
        <v>12</v>
      </c>
    </row>
    <row r="352" spans="33:41" x14ac:dyDescent="0.25">
      <c r="AG352" s="65"/>
      <c r="AH352" s="65"/>
      <c r="AJ352" s="184" t="s">
        <v>521</v>
      </c>
      <c r="AK352" s="184" t="s">
        <v>135</v>
      </c>
      <c r="AL352" s="184" t="s">
        <v>1430</v>
      </c>
      <c r="AM352" s="184" t="s">
        <v>1492</v>
      </c>
      <c r="AN352" s="184" t="s">
        <v>1538</v>
      </c>
      <c r="AO352" s="184">
        <v>12</v>
      </c>
    </row>
    <row r="353" spans="33:41" x14ac:dyDescent="0.25">
      <c r="AG353" s="65"/>
      <c r="AH353" s="65"/>
      <c r="AJ353" s="184" t="s">
        <v>522</v>
      </c>
      <c r="AK353" s="184" t="s">
        <v>135</v>
      </c>
      <c r="AL353" s="184" t="s">
        <v>1430</v>
      </c>
      <c r="AM353" s="184" t="s">
        <v>1492</v>
      </c>
      <c r="AN353" s="184" t="s">
        <v>1538</v>
      </c>
      <c r="AO353" s="184">
        <v>12</v>
      </c>
    </row>
    <row r="354" spans="33:41" x14ac:dyDescent="0.25">
      <c r="AG354" s="65"/>
      <c r="AH354" s="65"/>
      <c r="AJ354" s="184" t="s">
        <v>523</v>
      </c>
      <c r="AK354" s="184" t="s">
        <v>135</v>
      </c>
      <c r="AL354" s="184" t="s">
        <v>1430</v>
      </c>
      <c r="AM354" s="184" t="s">
        <v>1492</v>
      </c>
      <c r="AN354" s="184" t="s">
        <v>1538</v>
      </c>
      <c r="AO354" s="184">
        <v>12</v>
      </c>
    </row>
    <row r="355" spans="33:41" x14ac:dyDescent="0.25">
      <c r="AG355" s="65"/>
      <c r="AH355" s="65"/>
      <c r="AJ355" s="184" t="s">
        <v>524</v>
      </c>
      <c r="AK355" s="184" t="s">
        <v>135</v>
      </c>
      <c r="AL355" s="184" t="s">
        <v>1430</v>
      </c>
      <c r="AM355" s="184" t="s">
        <v>1492</v>
      </c>
      <c r="AN355" s="184" t="s">
        <v>1538</v>
      </c>
      <c r="AO355" s="184">
        <v>12</v>
      </c>
    </row>
    <row r="356" spans="33:41" x14ac:dyDescent="0.25">
      <c r="AG356" s="65"/>
      <c r="AH356" s="65"/>
      <c r="AJ356" s="184" t="s">
        <v>525</v>
      </c>
      <c r="AK356" s="184" t="s">
        <v>135</v>
      </c>
      <c r="AL356" s="184" t="s">
        <v>1430</v>
      </c>
      <c r="AM356" s="184" t="s">
        <v>1492</v>
      </c>
      <c r="AN356" s="184" t="s">
        <v>1538</v>
      </c>
      <c r="AO356" s="184">
        <v>12</v>
      </c>
    </row>
    <row r="357" spans="33:41" x14ac:dyDescent="0.25">
      <c r="AG357" s="65"/>
      <c r="AH357" s="65"/>
      <c r="AJ357" s="184" t="s">
        <v>526</v>
      </c>
      <c r="AK357" s="184" t="s">
        <v>135</v>
      </c>
      <c r="AL357" s="184" t="s">
        <v>1430</v>
      </c>
      <c r="AM357" s="184" t="s">
        <v>1492</v>
      </c>
      <c r="AN357" s="184" t="s">
        <v>1538</v>
      </c>
      <c r="AO357" s="184">
        <v>12</v>
      </c>
    </row>
    <row r="358" spans="33:41" x14ac:dyDescent="0.25">
      <c r="AG358" s="65"/>
      <c r="AH358" s="65"/>
      <c r="AJ358" s="184" t="s">
        <v>527</v>
      </c>
      <c r="AK358" s="184" t="s">
        <v>135</v>
      </c>
      <c r="AL358" s="184" t="s">
        <v>1430</v>
      </c>
      <c r="AM358" s="184" t="s">
        <v>1492</v>
      </c>
      <c r="AN358" s="184" t="s">
        <v>1538</v>
      </c>
      <c r="AO358" s="184">
        <v>12</v>
      </c>
    </row>
    <row r="359" spans="33:41" x14ac:dyDescent="0.25">
      <c r="AG359" s="65"/>
      <c r="AH359" s="65"/>
      <c r="AJ359" s="184" t="s">
        <v>528</v>
      </c>
      <c r="AK359" s="184" t="s">
        <v>135</v>
      </c>
      <c r="AL359" s="184" t="s">
        <v>1430</v>
      </c>
      <c r="AM359" s="184" t="s">
        <v>1492</v>
      </c>
      <c r="AN359" s="184" t="s">
        <v>1538</v>
      </c>
      <c r="AO359" s="184">
        <v>12</v>
      </c>
    </row>
    <row r="360" spans="33:41" x14ac:dyDescent="0.25">
      <c r="AG360" s="65"/>
      <c r="AH360" s="65"/>
      <c r="AJ360" s="184" t="s">
        <v>529</v>
      </c>
      <c r="AK360" s="184" t="s">
        <v>135</v>
      </c>
      <c r="AL360" s="184" t="s">
        <v>1430</v>
      </c>
      <c r="AM360" s="184" t="s">
        <v>1492</v>
      </c>
      <c r="AN360" s="184" t="s">
        <v>1538</v>
      </c>
      <c r="AO360" s="184">
        <v>12</v>
      </c>
    </row>
    <row r="361" spans="33:41" x14ac:dyDescent="0.25">
      <c r="AG361" s="65"/>
      <c r="AH361" s="65"/>
      <c r="AJ361" s="184" t="s">
        <v>530</v>
      </c>
      <c r="AK361" s="184" t="s">
        <v>135</v>
      </c>
      <c r="AL361" s="184" t="s">
        <v>1430</v>
      </c>
      <c r="AM361" s="184" t="s">
        <v>1492</v>
      </c>
      <c r="AN361" s="184" t="s">
        <v>1538</v>
      </c>
      <c r="AO361" s="184">
        <v>12</v>
      </c>
    </row>
    <row r="362" spans="33:41" x14ac:dyDescent="0.25">
      <c r="AG362" s="65"/>
      <c r="AH362" s="65"/>
      <c r="AJ362" s="184" t="s">
        <v>531</v>
      </c>
      <c r="AK362" s="184" t="s">
        <v>135</v>
      </c>
      <c r="AL362" s="184" t="s">
        <v>1430</v>
      </c>
      <c r="AM362" s="184" t="s">
        <v>1492</v>
      </c>
      <c r="AN362" s="184" t="s">
        <v>1538</v>
      </c>
      <c r="AO362" s="184">
        <v>12</v>
      </c>
    </row>
    <row r="363" spans="33:41" x14ac:dyDescent="0.25">
      <c r="AG363" s="65"/>
      <c r="AH363" s="65"/>
      <c r="AJ363" s="184" t="s">
        <v>532</v>
      </c>
      <c r="AK363" s="184" t="s">
        <v>135</v>
      </c>
      <c r="AL363" s="184" t="s">
        <v>1430</v>
      </c>
      <c r="AM363" s="184" t="s">
        <v>1487</v>
      </c>
      <c r="AN363" s="184" t="s">
        <v>1538</v>
      </c>
      <c r="AO363" s="184">
        <v>12</v>
      </c>
    </row>
    <row r="364" spans="33:41" x14ac:dyDescent="0.25">
      <c r="AG364" s="65"/>
      <c r="AH364" s="65"/>
      <c r="AJ364" s="184" t="s">
        <v>533</v>
      </c>
      <c r="AK364" s="184" t="s">
        <v>135</v>
      </c>
      <c r="AL364" s="184" t="s">
        <v>1430</v>
      </c>
      <c r="AM364" s="184" t="s">
        <v>1487</v>
      </c>
      <c r="AN364" s="184" t="s">
        <v>1538</v>
      </c>
      <c r="AO364" s="184">
        <v>12</v>
      </c>
    </row>
    <row r="365" spans="33:41" x14ac:dyDescent="0.25">
      <c r="AG365" s="65"/>
      <c r="AH365" s="65"/>
      <c r="AJ365" s="184" t="s">
        <v>534</v>
      </c>
      <c r="AK365" s="184" t="s">
        <v>135</v>
      </c>
      <c r="AL365" s="184" t="s">
        <v>1430</v>
      </c>
      <c r="AM365" s="184" t="s">
        <v>1491</v>
      </c>
      <c r="AN365" s="184" t="s">
        <v>1538</v>
      </c>
      <c r="AO365" s="184">
        <v>12</v>
      </c>
    </row>
    <row r="366" spans="33:41" x14ac:dyDescent="0.25">
      <c r="AG366" s="65"/>
      <c r="AH366" s="65"/>
      <c r="AJ366" s="184" t="s">
        <v>535</v>
      </c>
      <c r="AK366" s="184" t="s">
        <v>135</v>
      </c>
      <c r="AL366" s="184" t="s">
        <v>1430</v>
      </c>
      <c r="AM366" s="184" t="s">
        <v>1482</v>
      </c>
      <c r="AN366" s="184" t="s">
        <v>1538</v>
      </c>
      <c r="AO366" s="184">
        <v>12</v>
      </c>
    </row>
    <row r="367" spans="33:41" x14ac:dyDescent="0.25">
      <c r="AG367" s="65"/>
      <c r="AH367" s="65"/>
      <c r="AJ367" s="184" t="s">
        <v>536</v>
      </c>
      <c r="AK367" s="184" t="s">
        <v>135</v>
      </c>
      <c r="AL367" s="184" t="s">
        <v>1430</v>
      </c>
      <c r="AM367" s="184" t="s">
        <v>1487</v>
      </c>
      <c r="AN367" s="184" t="s">
        <v>1538</v>
      </c>
      <c r="AO367" s="184">
        <v>12</v>
      </c>
    </row>
    <row r="368" spans="33:41" x14ac:dyDescent="0.25">
      <c r="AG368" s="65"/>
      <c r="AH368" s="65"/>
      <c r="AJ368" s="184" t="s">
        <v>537</v>
      </c>
      <c r="AK368" s="184" t="s">
        <v>135</v>
      </c>
      <c r="AL368" s="184" t="s">
        <v>1430</v>
      </c>
      <c r="AM368" s="184" t="s">
        <v>1487</v>
      </c>
      <c r="AN368" s="184" t="s">
        <v>1538</v>
      </c>
      <c r="AO368" s="184">
        <v>12</v>
      </c>
    </row>
    <row r="369" spans="33:41" x14ac:dyDescent="0.25">
      <c r="AG369" s="65"/>
      <c r="AH369" s="65"/>
      <c r="AJ369" s="184" t="s">
        <v>538</v>
      </c>
      <c r="AK369" s="184" t="s">
        <v>135</v>
      </c>
      <c r="AL369" s="184" t="s">
        <v>1430</v>
      </c>
      <c r="AM369" s="184" t="s">
        <v>1491</v>
      </c>
      <c r="AN369" s="184" t="s">
        <v>1538</v>
      </c>
      <c r="AO369" s="184">
        <v>12</v>
      </c>
    </row>
    <row r="370" spans="33:41" x14ac:dyDescent="0.25">
      <c r="AG370" s="65"/>
      <c r="AH370" s="65"/>
      <c r="AJ370" s="184" t="s">
        <v>539</v>
      </c>
      <c r="AK370" s="184" t="s">
        <v>135</v>
      </c>
      <c r="AL370" s="184" t="s">
        <v>1430</v>
      </c>
      <c r="AM370" s="184" t="s">
        <v>1482</v>
      </c>
      <c r="AN370" s="184" t="s">
        <v>1538</v>
      </c>
      <c r="AO370" s="184">
        <v>12</v>
      </c>
    </row>
    <row r="371" spans="33:41" x14ac:dyDescent="0.25">
      <c r="AG371" s="65"/>
      <c r="AH371" s="65"/>
      <c r="AJ371" s="184" t="s">
        <v>540</v>
      </c>
      <c r="AK371" s="184" t="s">
        <v>135</v>
      </c>
      <c r="AL371" s="184" t="s">
        <v>1430</v>
      </c>
      <c r="AM371" s="184" t="s">
        <v>1483</v>
      </c>
      <c r="AN371" s="184" t="s">
        <v>1538</v>
      </c>
      <c r="AO371" s="184">
        <v>12</v>
      </c>
    </row>
    <row r="372" spans="33:41" x14ac:dyDescent="0.25">
      <c r="AG372" s="65"/>
      <c r="AH372" s="65"/>
      <c r="AJ372" s="184" t="s">
        <v>541</v>
      </c>
      <c r="AK372" s="184" t="s">
        <v>135</v>
      </c>
      <c r="AL372" s="184" t="s">
        <v>1430</v>
      </c>
      <c r="AM372" s="184" t="s">
        <v>1493</v>
      </c>
      <c r="AN372" s="184" t="s">
        <v>1538</v>
      </c>
      <c r="AO372" s="184">
        <v>12</v>
      </c>
    </row>
    <row r="373" spans="33:41" x14ac:dyDescent="0.25">
      <c r="AG373" s="65"/>
      <c r="AH373" s="65"/>
      <c r="AJ373" s="184" t="s">
        <v>542</v>
      </c>
      <c r="AK373" s="184" t="s">
        <v>135</v>
      </c>
      <c r="AL373" s="184" t="s">
        <v>1430</v>
      </c>
      <c r="AM373" s="184" t="s">
        <v>1493</v>
      </c>
      <c r="AN373" s="184" t="s">
        <v>1538</v>
      </c>
      <c r="AO373" s="184">
        <v>12</v>
      </c>
    </row>
    <row r="374" spans="33:41" x14ac:dyDescent="0.25">
      <c r="AG374" s="65"/>
      <c r="AH374" s="65"/>
      <c r="AJ374" s="184" t="s">
        <v>543</v>
      </c>
      <c r="AK374" s="184" t="s">
        <v>135</v>
      </c>
      <c r="AL374" s="184" t="s">
        <v>1430</v>
      </c>
      <c r="AM374" s="184" t="s">
        <v>1493</v>
      </c>
      <c r="AN374" s="184" t="s">
        <v>1538</v>
      </c>
      <c r="AO374" s="184">
        <v>12</v>
      </c>
    </row>
    <row r="375" spans="33:41" x14ac:dyDescent="0.25">
      <c r="AG375" s="65"/>
      <c r="AH375" s="65"/>
      <c r="AJ375" s="184" t="s">
        <v>544</v>
      </c>
      <c r="AK375" s="184" t="s">
        <v>135</v>
      </c>
      <c r="AL375" s="184" t="s">
        <v>1430</v>
      </c>
      <c r="AM375" s="184" t="s">
        <v>1493</v>
      </c>
      <c r="AN375" s="184" t="s">
        <v>1538</v>
      </c>
      <c r="AO375" s="184">
        <v>12</v>
      </c>
    </row>
    <row r="376" spans="33:41" x14ac:dyDescent="0.25">
      <c r="AG376" s="65"/>
      <c r="AH376" s="65"/>
      <c r="AJ376" s="184" t="s">
        <v>545</v>
      </c>
      <c r="AK376" s="184" t="s">
        <v>135</v>
      </c>
      <c r="AL376" s="184" t="s">
        <v>1430</v>
      </c>
      <c r="AM376" s="184" t="s">
        <v>1493</v>
      </c>
      <c r="AN376" s="184" t="s">
        <v>1538</v>
      </c>
      <c r="AO376" s="184">
        <v>12</v>
      </c>
    </row>
    <row r="377" spans="33:41" x14ac:dyDescent="0.25">
      <c r="AG377" s="65"/>
      <c r="AH377" s="65"/>
      <c r="AJ377" s="184" t="s">
        <v>546</v>
      </c>
      <c r="AK377" s="184" t="s">
        <v>135</v>
      </c>
      <c r="AL377" s="184" t="s">
        <v>1430</v>
      </c>
      <c r="AM377" s="184" t="s">
        <v>1493</v>
      </c>
      <c r="AN377" s="184" t="s">
        <v>1538</v>
      </c>
      <c r="AO377" s="184">
        <v>12</v>
      </c>
    </row>
    <row r="378" spans="33:41" x14ac:dyDescent="0.25">
      <c r="AG378" s="65"/>
      <c r="AH378" s="65"/>
      <c r="AJ378" s="184" t="s">
        <v>547</v>
      </c>
      <c r="AK378" s="184" t="s">
        <v>135</v>
      </c>
      <c r="AL378" s="184" t="s">
        <v>1430</v>
      </c>
      <c r="AM378" s="184" t="s">
        <v>1493</v>
      </c>
      <c r="AN378" s="184" t="s">
        <v>1538</v>
      </c>
      <c r="AO378" s="184">
        <v>12</v>
      </c>
    </row>
    <row r="379" spans="33:41" x14ac:dyDescent="0.25">
      <c r="AG379" s="65"/>
      <c r="AH379" s="65"/>
      <c r="AJ379" s="184" t="s">
        <v>548</v>
      </c>
      <c r="AK379" s="184" t="s">
        <v>135</v>
      </c>
      <c r="AL379" s="184" t="s">
        <v>1430</v>
      </c>
      <c r="AM379" s="184" t="s">
        <v>1493</v>
      </c>
      <c r="AN379" s="184" t="s">
        <v>1538</v>
      </c>
      <c r="AO379" s="184">
        <v>12</v>
      </c>
    </row>
    <row r="380" spans="33:41" x14ac:dyDescent="0.25">
      <c r="AG380" s="65"/>
      <c r="AH380" s="65"/>
      <c r="AJ380" s="184" t="s">
        <v>549</v>
      </c>
      <c r="AK380" s="184" t="s">
        <v>135</v>
      </c>
      <c r="AL380" s="184" t="s">
        <v>1430</v>
      </c>
      <c r="AM380" s="184" t="s">
        <v>1493</v>
      </c>
      <c r="AN380" s="184" t="s">
        <v>1538</v>
      </c>
      <c r="AO380" s="184">
        <v>12</v>
      </c>
    </row>
    <row r="381" spans="33:41" x14ac:dyDescent="0.25">
      <c r="AG381" s="65"/>
      <c r="AH381" s="65"/>
      <c r="AJ381" s="184" t="s">
        <v>550</v>
      </c>
      <c r="AK381" s="184" t="s">
        <v>135</v>
      </c>
      <c r="AL381" s="184" t="s">
        <v>1430</v>
      </c>
      <c r="AM381" s="184" t="s">
        <v>1438</v>
      </c>
      <c r="AN381" s="184" t="s">
        <v>1535</v>
      </c>
      <c r="AO381" s="184">
        <v>12</v>
      </c>
    </row>
    <row r="382" spans="33:41" x14ac:dyDescent="0.25">
      <c r="AG382" s="65"/>
      <c r="AH382" s="65"/>
      <c r="AJ382" s="184" t="s">
        <v>551</v>
      </c>
      <c r="AK382" s="184" t="s">
        <v>135</v>
      </c>
      <c r="AL382" s="184" t="s">
        <v>1430</v>
      </c>
      <c r="AM382" s="184" t="s">
        <v>1438</v>
      </c>
      <c r="AN382" s="184" t="s">
        <v>1535</v>
      </c>
      <c r="AO382" s="184">
        <v>12</v>
      </c>
    </row>
    <row r="383" spans="33:41" x14ac:dyDescent="0.25">
      <c r="AG383" s="65"/>
      <c r="AH383" s="65"/>
      <c r="AJ383" s="184" t="s">
        <v>552</v>
      </c>
      <c r="AK383" s="184" t="s">
        <v>135</v>
      </c>
      <c r="AL383" s="184" t="s">
        <v>1430</v>
      </c>
      <c r="AM383" s="184" t="s">
        <v>1489</v>
      </c>
      <c r="AN383" s="184" t="s">
        <v>1538</v>
      </c>
      <c r="AO383" s="184">
        <v>12</v>
      </c>
    </row>
    <row r="384" spans="33:41" x14ac:dyDescent="0.25">
      <c r="AG384" s="65"/>
      <c r="AH384" s="65"/>
      <c r="AJ384" s="184" t="s">
        <v>553</v>
      </c>
      <c r="AK384" s="184" t="s">
        <v>135</v>
      </c>
      <c r="AL384" s="184" t="s">
        <v>1430</v>
      </c>
      <c r="AM384" s="184" t="s">
        <v>1489</v>
      </c>
      <c r="AN384" s="184" t="s">
        <v>1538</v>
      </c>
      <c r="AO384" s="184">
        <v>12</v>
      </c>
    </row>
    <row r="385" spans="33:41" x14ac:dyDescent="0.25">
      <c r="AG385" s="65"/>
      <c r="AH385" s="65"/>
      <c r="AJ385" s="184" t="s">
        <v>554</v>
      </c>
      <c r="AK385" s="184" t="s">
        <v>135</v>
      </c>
      <c r="AL385" s="184" t="s">
        <v>1430</v>
      </c>
      <c r="AM385" s="184" t="s">
        <v>1489</v>
      </c>
      <c r="AN385" s="184" t="s">
        <v>1538</v>
      </c>
      <c r="AO385" s="184">
        <v>12</v>
      </c>
    </row>
    <row r="386" spans="33:41" x14ac:dyDescent="0.25">
      <c r="AG386" s="65"/>
      <c r="AH386" s="65"/>
      <c r="AJ386" s="184" t="s">
        <v>555</v>
      </c>
      <c r="AK386" s="184" t="s">
        <v>135</v>
      </c>
      <c r="AL386" s="184" t="s">
        <v>1430</v>
      </c>
      <c r="AM386" s="184" t="s">
        <v>1482</v>
      </c>
      <c r="AN386" s="184" t="s">
        <v>1538</v>
      </c>
      <c r="AO386" s="184">
        <v>12</v>
      </c>
    </row>
    <row r="387" spans="33:41" x14ac:dyDescent="0.25">
      <c r="AG387" s="65"/>
      <c r="AH387" s="65"/>
      <c r="AJ387" s="184" t="s">
        <v>556</v>
      </c>
      <c r="AK387" s="184" t="s">
        <v>135</v>
      </c>
      <c r="AL387" s="184" t="s">
        <v>1430</v>
      </c>
      <c r="AM387" s="184" t="s">
        <v>1482</v>
      </c>
      <c r="AN387" s="184" t="s">
        <v>1538</v>
      </c>
      <c r="AO387" s="184">
        <v>12</v>
      </c>
    </row>
    <row r="388" spans="33:41" x14ac:dyDescent="0.25">
      <c r="AG388" s="65"/>
      <c r="AH388" s="65"/>
      <c r="AJ388" s="184" t="s">
        <v>557</v>
      </c>
      <c r="AK388" s="184" t="s">
        <v>135</v>
      </c>
      <c r="AL388" s="184" t="s">
        <v>1430</v>
      </c>
      <c r="AM388" s="184" t="s">
        <v>1485</v>
      </c>
      <c r="AN388" s="184" t="s">
        <v>1538</v>
      </c>
      <c r="AO388" s="184">
        <v>12</v>
      </c>
    </row>
    <row r="389" spans="33:41" x14ac:dyDescent="0.25">
      <c r="AG389" s="65"/>
      <c r="AH389" s="65"/>
      <c r="AJ389" s="184" t="s">
        <v>558</v>
      </c>
      <c r="AK389" s="184" t="s">
        <v>135</v>
      </c>
      <c r="AL389" s="184" t="s">
        <v>1430</v>
      </c>
      <c r="AM389" s="184" t="s">
        <v>1485</v>
      </c>
      <c r="AN389" s="184" t="s">
        <v>1538</v>
      </c>
      <c r="AO389" s="184">
        <v>12</v>
      </c>
    </row>
    <row r="390" spans="33:41" x14ac:dyDescent="0.25">
      <c r="AG390" s="65"/>
      <c r="AH390" s="65"/>
      <c r="AJ390" s="184" t="s">
        <v>559</v>
      </c>
      <c r="AK390" s="184" t="s">
        <v>83</v>
      </c>
      <c r="AL390" s="184" t="s">
        <v>1430</v>
      </c>
      <c r="AM390" s="184" t="s">
        <v>1485</v>
      </c>
      <c r="AN390" s="184" t="s">
        <v>1538</v>
      </c>
      <c r="AO390" s="184">
        <v>12</v>
      </c>
    </row>
    <row r="391" spans="33:41" x14ac:dyDescent="0.25">
      <c r="AG391" s="65"/>
      <c r="AH391" s="65"/>
      <c r="AJ391" s="184" t="s">
        <v>560</v>
      </c>
      <c r="AK391" s="184" t="s">
        <v>83</v>
      </c>
      <c r="AL391" s="184" t="s">
        <v>1430</v>
      </c>
      <c r="AM391" s="184" t="s">
        <v>1485</v>
      </c>
      <c r="AN391" s="184" t="s">
        <v>1538</v>
      </c>
      <c r="AO391" s="184">
        <v>12</v>
      </c>
    </row>
    <row r="392" spans="33:41" x14ac:dyDescent="0.25">
      <c r="AG392" s="65"/>
      <c r="AH392" s="65"/>
      <c r="AJ392" s="184" t="s">
        <v>561</v>
      </c>
      <c r="AK392" s="184" t="s">
        <v>83</v>
      </c>
      <c r="AL392" s="184" t="s">
        <v>1430</v>
      </c>
      <c r="AM392" s="184" t="s">
        <v>1485</v>
      </c>
      <c r="AN392" s="184" t="s">
        <v>1538</v>
      </c>
      <c r="AO392" s="184">
        <v>12</v>
      </c>
    </row>
    <row r="393" spans="33:41" x14ac:dyDescent="0.25">
      <c r="AG393" s="65"/>
      <c r="AH393" s="65"/>
      <c r="AJ393" s="184" t="s">
        <v>562</v>
      </c>
      <c r="AK393" s="184" t="s">
        <v>83</v>
      </c>
      <c r="AL393" s="184" t="s">
        <v>1430</v>
      </c>
      <c r="AM393" s="184" t="s">
        <v>1485</v>
      </c>
      <c r="AN393" s="184" t="s">
        <v>1538</v>
      </c>
      <c r="AO393" s="184">
        <v>12</v>
      </c>
    </row>
    <row r="394" spans="33:41" x14ac:dyDescent="0.25">
      <c r="AG394" s="65"/>
      <c r="AH394" s="65"/>
      <c r="AJ394" s="184" t="s">
        <v>563</v>
      </c>
      <c r="AK394" s="184" t="s">
        <v>83</v>
      </c>
      <c r="AL394" s="184" t="s">
        <v>1430</v>
      </c>
      <c r="AM394" s="184" t="s">
        <v>1485</v>
      </c>
      <c r="AN394" s="184" t="s">
        <v>1538</v>
      </c>
      <c r="AO394" s="184">
        <v>12</v>
      </c>
    </row>
    <row r="395" spans="33:41" x14ac:dyDescent="0.25">
      <c r="AG395" s="65"/>
      <c r="AH395" s="65"/>
      <c r="AJ395" s="184" t="s">
        <v>564</v>
      </c>
      <c r="AK395" s="184" t="s">
        <v>83</v>
      </c>
      <c r="AL395" s="184" t="s">
        <v>1430</v>
      </c>
      <c r="AM395" s="184" t="s">
        <v>1485</v>
      </c>
      <c r="AN395" s="184" t="s">
        <v>1538</v>
      </c>
      <c r="AO395" s="184">
        <v>12</v>
      </c>
    </row>
    <row r="396" spans="33:41" x14ac:dyDescent="0.25">
      <c r="AG396" s="65"/>
      <c r="AH396" s="65"/>
      <c r="AJ396" s="184" t="s">
        <v>565</v>
      </c>
      <c r="AK396" s="184" t="s">
        <v>83</v>
      </c>
      <c r="AL396" s="184" t="s">
        <v>1430</v>
      </c>
      <c r="AM396" s="184" t="s">
        <v>1485</v>
      </c>
      <c r="AN396" s="184" t="s">
        <v>1538</v>
      </c>
      <c r="AO396" s="184">
        <v>12</v>
      </c>
    </row>
    <row r="397" spans="33:41" x14ac:dyDescent="0.25">
      <c r="AG397" s="65"/>
      <c r="AH397" s="65"/>
      <c r="AJ397" s="184" t="s">
        <v>566</v>
      </c>
      <c r="AK397" s="184" t="s">
        <v>83</v>
      </c>
      <c r="AL397" s="184" t="s">
        <v>1430</v>
      </c>
      <c r="AM397" s="184" t="s">
        <v>1485</v>
      </c>
      <c r="AN397" s="184" t="s">
        <v>1538</v>
      </c>
      <c r="AO397" s="184">
        <v>12</v>
      </c>
    </row>
    <row r="398" spans="33:41" x14ac:dyDescent="0.25">
      <c r="AG398" s="65"/>
      <c r="AH398" s="65"/>
      <c r="AJ398" s="184" t="s">
        <v>567</v>
      </c>
      <c r="AK398" s="184" t="s">
        <v>83</v>
      </c>
      <c r="AL398" s="184" t="s">
        <v>1430</v>
      </c>
      <c r="AM398" s="184" t="s">
        <v>1486</v>
      </c>
      <c r="AN398" s="184" t="s">
        <v>1538</v>
      </c>
      <c r="AO398" s="184">
        <v>12</v>
      </c>
    </row>
    <row r="399" spans="33:41" x14ac:dyDescent="0.25">
      <c r="AG399" s="65"/>
      <c r="AH399" s="65"/>
      <c r="AJ399" s="184" t="s">
        <v>568</v>
      </c>
      <c r="AK399" s="184" t="s">
        <v>83</v>
      </c>
      <c r="AL399" s="184" t="s">
        <v>1430</v>
      </c>
      <c r="AM399" s="184" t="s">
        <v>1494</v>
      </c>
      <c r="AN399" s="184" t="s">
        <v>1539</v>
      </c>
      <c r="AO399" s="184">
        <v>12</v>
      </c>
    </row>
    <row r="400" spans="33:41" x14ac:dyDescent="0.25">
      <c r="AG400" s="65"/>
      <c r="AH400" s="65"/>
      <c r="AJ400" s="184" t="s">
        <v>569</v>
      </c>
      <c r="AK400" s="184" t="s">
        <v>83</v>
      </c>
      <c r="AL400" s="184" t="s">
        <v>1430</v>
      </c>
      <c r="AM400" s="184" t="s">
        <v>1485</v>
      </c>
      <c r="AN400" s="184" t="s">
        <v>1538</v>
      </c>
      <c r="AO400" s="184">
        <v>12</v>
      </c>
    </row>
    <row r="401" spans="33:41" x14ac:dyDescent="0.25">
      <c r="AG401" s="65"/>
      <c r="AH401" s="65"/>
      <c r="AJ401" s="184" t="s">
        <v>570</v>
      </c>
      <c r="AK401" s="184" t="s">
        <v>83</v>
      </c>
      <c r="AL401" s="184" t="s">
        <v>1430</v>
      </c>
      <c r="AM401" s="184" t="s">
        <v>1485</v>
      </c>
      <c r="AN401" s="184" t="s">
        <v>1538</v>
      </c>
      <c r="AO401" s="184">
        <v>12</v>
      </c>
    </row>
    <row r="402" spans="33:41" x14ac:dyDescent="0.25">
      <c r="AG402" s="65"/>
      <c r="AH402" s="65"/>
      <c r="AJ402" s="184" t="s">
        <v>571</v>
      </c>
      <c r="AK402" s="184" t="s">
        <v>83</v>
      </c>
      <c r="AL402" s="184" t="s">
        <v>1430</v>
      </c>
      <c r="AM402" s="184" t="s">
        <v>1485</v>
      </c>
      <c r="AN402" s="184" t="s">
        <v>1538</v>
      </c>
      <c r="AO402" s="184">
        <v>12</v>
      </c>
    </row>
    <row r="403" spans="33:41" x14ac:dyDescent="0.25">
      <c r="AG403" s="65"/>
      <c r="AH403" s="65"/>
      <c r="AJ403" s="184" t="s">
        <v>572</v>
      </c>
      <c r="AK403" s="184" t="s">
        <v>83</v>
      </c>
      <c r="AL403" s="184" t="s">
        <v>1430</v>
      </c>
      <c r="AM403" s="184" t="s">
        <v>1485</v>
      </c>
      <c r="AN403" s="184" t="s">
        <v>1538</v>
      </c>
      <c r="AO403" s="184">
        <v>12</v>
      </c>
    </row>
    <row r="404" spans="33:41" x14ac:dyDescent="0.25">
      <c r="AG404" s="65"/>
      <c r="AH404" s="65"/>
      <c r="AJ404" s="184" t="s">
        <v>573</v>
      </c>
      <c r="AK404" s="184" t="s">
        <v>83</v>
      </c>
      <c r="AL404" s="184" t="s">
        <v>1430</v>
      </c>
      <c r="AM404" s="184" t="s">
        <v>1485</v>
      </c>
      <c r="AN404" s="184" t="s">
        <v>1538</v>
      </c>
      <c r="AO404" s="184">
        <v>12</v>
      </c>
    </row>
    <row r="405" spans="33:41" x14ac:dyDescent="0.25">
      <c r="AG405" s="65"/>
      <c r="AH405" s="65"/>
      <c r="AJ405" s="184" t="s">
        <v>574</v>
      </c>
      <c r="AK405" s="184" t="s">
        <v>83</v>
      </c>
      <c r="AL405" s="184" t="s">
        <v>1430</v>
      </c>
      <c r="AM405" s="184" t="s">
        <v>1485</v>
      </c>
      <c r="AN405" s="184" t="s">
        <v>1538</v>
      </c>
      <c r="AO405" s="184">
        <v>12</v>
      </c>
    </row>
    <row r="406" spans="33:41" x14ac:dyDescent="0.25">
      <c r="AG406" s="65"/>
      <c r="AH406" s="65"/>
      <c r="AJ406" s="184" t="s">
        <v>575</v>
      </c>
      <c r="AK406" s="184" t="s">
        <v>83</v>
      </c>
      <c r="AL406" s="184" t="s">
        <v>1430</v>
      </c>
      <c r="AM406" s="184" t="s">
        <v>1485</v>
      </c>
      <c r="AN406" s="184" t="s">
        <v>1538</v>
      </c>
      <c r="AO406" s="184">
        <v>12</v>
      </c>
    </row>
    <row r="407" spans="33:41" x14ac:dyDescent="0.25">
      <c r="AG407" s="65"/>
      <c r="AH407" s="65"/>
      <c r="AJ407" s="184" t="s">
        <v>576</v>
      </c>
      <c r="AK407" s="184" t="s">
        <v>83</v>
      </c>
      <c r="AL407" s="184" t="s">
        <v>1430</v>
      </c>
      <c r="AM407" s="184" t="s">
        <v>1485</v>
      </c>
      <c r="AN407" s="184" t="s">
        <v>1538</v>
      </c>
      <c r="AO407" s="184">
        <v>12</v>
      </c>
    </row>
    <row r="408" spans="33:41" x14ac:dyDescent="0.25">
      <c r="AG408" s="65"/>
      <c r="AH408" s="65"/>
      <c r="AJ408" s="184" t="s">
        <v>577</v>
      </c>
      <c r="AK408" s="184" t="s">
        <v>83</v>
      </c>
      <c r="AL408" s="184" t="s">
        <v>1430</v>
      </c>
      <c r="AM408" s="184" t="s">
        <v>1494</v>
      </c>
      <c r="AN408" s="184" t="s">
        <v>1539</v>
      </c>
      <c r="AO408" s="184">
        <v>12</v>
      </c>
    </row>
    <row r="409" spans="33:41" x14ac:dyDescent="0.25">
      <c r="AG409" s="65"/>
      <c r="AH409" s="65"/>
      <c r="AJ409" s="184" t="s">
        <v>578</v>
      </c>
      <c r="AK409" s="184" t="s">
        <v>83</v>
      </c>
      <c r="AL409" s="184" t="s">
        <v>1430</v>
      </c>
      <c r="AM409" s="184" t="s">
        <v>1486</v>
      </c>
      <c r="AN409" s="184" t="s">
        <v>1538</v>
      </c>
      <c r="AO409" s="184">
        <v>12</v>
      </c>
    </row>
    <row r="410" spans="33:41" x14ac:dyDescent="0.25">
      <c r="AG410" s="65"/>
      <c r="AH410" s="65"/>
      <c r="AJ410" s="184" t="s">
        <v>579</v>
      </c>
      <c r="AK410" s="184" t="s">
        <v>83</v>
      </c>
      <c r="AL410" s="184" t="s">
        <v>1431</v>
      </c>
      <c r="AM410" s="184" t="s">
        <v>1474</v>
      </c>
      <c r="AN410" s="184" t="s">
        <v>1538</v>
      </c>
      <c r="AO410" s="184">
        <v>12</v>
      </c>
    </row>
    <row r="411" spans="33:41" x14ac:dyDescent="0.25">
      <c r="AG411" s="65"/>
      <c r="AH411" s="65"/>
      <c r="AJ411" s="184" t="s">
        <v>580</v>
      </c>
      <c r="AK411" s="184" t="s">
        <v>83</v>
      </c>
      <c r="AL411" s="184" t="s">
        <v>1430</v>
      </c>
      <c r="AM411" s="184" t="s">
        <v>1485</v>
      </c>
      <c r="AN411" s="184" t="s">
        <v>1538</v>
      </c>
      <c r="AO411" s="184">
        <v>12</v>
      </c>
    </row>
    <row r="412" spans="33:41" x14ac:dyDescent="0.25">
      <c r="AG412" s="65"/>
      <c r="AH412" s="65"/>
      <c r="AJ412" s="184" t="s">
        <v>581</v>
      </c>
      <c r="AK412" s="184" t="s">
        <v>98</v>
      </c>
      <c r="AL412" s="184" t="s">
        <v>1430</v>
      </c>
      <c r="AM412" s="184" t="s">
        <v>1485</v>
      </c>
      <c r="AN412" s="184" t="s">
        <v>1538</v>
      </c>
      <c r="AO412" s="184">
        <v>12</v>
      </c>
    </row>
    <row r="413" spans="33:41" x14ac:dyDescent="0.25">
      <c r="AG413" s="65"/>
      <c r="AH413" s="65"/>
      <c r="AJ413" s="184" t="s">
        <v>582</v>
      </c>
      <c r="AK413" s="184" t="s">
        <v>83</v>
      </c>
      <c r="AL413" s="184" t="s">
        <v>1430</v>
      </c>
      <c r="AM413" s="184" t="s">
        <v>1475</v>
      </c>
      <c r="AN413" s="184" t="s">
        <v>1538</v>
      </c>
      <c r="AO413" s="184">
        <v>12</v>
      </c>
    </row>
    <row r="414" spans="33:41" x14ac:dyDescent="0.25">
      <c r="AG414" s="65"/>
      <c r="AH414" s="65"/>
      <c r="AJ414" s="184" t="s">
        <v>583</v>
      </c>
      <c r="AK414" s="184" t="s">
        <v>103</v>
      </c>
      <c r="AL414" s="184" t="s">
        <v>1430</v>
      </c>
      <c r="AM414" s="184" t="s">
        <v>1495</v>
      </c>
      <c r="AN414" s="184" t="s">
        <v>1538</v>
      </c>
      <c r="AO414" s="184">
        <v>12</v>
      </c>
    </row>
    <row r="415" spans="33:41" x14ac:dyDescent="0.25">
      <c r="AG415" s="65"/>
      <c r="AH415" s="65"/>
      <c r="AJ415" s="184" t="s">
        <v>584</v>
      </c>
      <c r="AK415" s="184" t="s">
        <v>96</v>
      </c>
      <c r="AL415" s="184" t="s">
        <v>1430</v>
      </c>
      <c r="AM415" s="184" t="s">
        <v>1489</v>
      </c>
      <c r="AN415" s="184" t="s">
        <v>1538</v>
      </c>
      <c r="AO415" s="184">
        <v>12</v>
      </c>
    </row>
    <row r="416" spans="33:41" x14ac:dyDescent="0.25">
      <c r="AG416" s="65"/>
      <c r="AH416" s="65"/>
      <c r="AJ416" s="184" t="s">
        <v>585</v>
      </c>
      <c r="AK416" s="184" t="s">
        <v>83</v>
      </c>
      <c r="AL416" s="184" t="s">
        <v>1430</v>
      </c>
      <c r="AM416" s="184" t="s">
        <v>1489</v>
      </c>
      <c r="AN416" s="184" t="s">
        <v>1538</v>
      </c>
      <c r="AO416" s="184">
        <v>12</v>
      </c>
    </row>
    <row r="417" spans="33:41" x14ac:dyDescent="0.25">
      <c r="AG417" s="65"/>
      <c r="AH417" s="65"/>
      <c r="AJ417" s="184" t="s">
        <v>586</v>
      </c>
      <c r="AK417" s="184" t="s">
        <v>1395</v>
      </c>
      <c r="AL417" s="184" t="s">
        <v>1431</v>
      </c>
      <c r="AM417" s="184" t="s">
        <v>1481</v>
      </c>
      <c r="AN417" s="184" t="s">
        <v>1539</v>
      </c>
      <c r="AO417" s="184">
        <v>12</v>
      </c>
    </row>
    <row r="418" spans="33:41" x14ac:dyDescent="0.25">
      <c r="AG418" s="65"/>
      <c r="AH418" s="65"/>
      <c r="AJ418" s="184" t="s">
        <v>587</v>
      </c>
      <c r="AK418" s="184" t="s">
        <v>1395</v>
      </c>
      <c r="AL418" s="184" t="s">
        <v>1431</v>
      </c>
      <c r="AM418" s="184" t="s">
        <v>1481</v>
      </c>
      <c r="AN418" s="184" t="s">
        <v>1539</v>
      </c>
      <c r="AO418" s="184">
        <v>12</v>
      </c>
    </row>
    <row r="419" spans="33:41" x14ac:dyDescent="0.25">
      <c r="AG419" s="65"/>
      <c r="AH419" s="65"/>
      <c r="AJ419" s="184" t="s">
        <v>588</v>
      </c>
      <c r="AK419" s="184" t="s">
        <v>1395</v>
      </c>
      <c r="AL419" s="184" t="s">
        <v>1431</v>
      </c>
      <c r="AM419" s="184" t="s">
        <v>1481</v>
      </c>
      <c r="AN419" s="184" t="s">
        <v>1539</v>
      </c>
      <c r="AO419" s="184">
        <v>12</v>
      </c>
    </row>
    <row r="420" spans="33:41" x14ac:dyDescent="0.25">
      <c r="AG420" s="65"/>
      <c r="AH420" s="65"/>
      <c r="AJ420" s="184" t="s">
        <v>589</v>
      </c>
      <c r="AK420" s="184" t="s">
        <v>1395</v>
      </c>
      <c r="AL420" s="184" t="s">
        <v>1431</v>
      </c>
      <c r="AM420" s="184" t="s">
        <v>1481</v>
      </c>
      <c r="AN420" s="184" t="s">
        <v>1539</v>
      </c>
      <c r="AO420" s="184">
        <v>12</v>
      </c>
    </row>
    <row r="421" spans="33:41" x14ac:dyDescent="0.25">
      <c r="AG421" s="65"/>
      <c r="AH421" s="65"/>
      <c r="AJ421" s="184" t="s">
        <v>590</v>
      </c>
      <c r="AK421" s="184" t="s">
        <v>1395</v>
      </c>
      <c r="AL421" s="184" t="s">
        <v>1431</v>
      </c>
      <c r="AM421" s="184" t="s">
        <v>1481</v>
      </c>
      <c r="AN421" s="184" t="s">
        <v>1539</v>
      </c>
      <c r="AO421" s="184">
        <v>12</v>
      </c>
    </row>
    <row r="422" spans="33:41" x14ac:dyDescent="0.25">
      <c r="AG422" s="65"/>
      <c r="AH422" s="65"/>
      <c r="AJ422" s="184" t="s">
        <v>591</v>
      </c>
      <c r="AK422" s="184" t="s">
        <v>1395</v>
      </c>
      <c r="AL422" s="184" t="s">
        <v>1431</v>
      </c>
      <c r="AM422" s="184" t="s">
        <v>1481</v>
      </c>
      <c r="AN422" s="184" t="s">
        <v>1539</v>
      </c>
      <c r="AO422" s="184">
        <v>12</v>
      </c>
    </row>
    <row r="423" spans="33:41" x14ac:dyDescent="0.25">
      <c r="AG423" s="65"/>
      <c r="AH423" s="65"/>
      <c r="AJ423" s="184" t="s">
        <v>592</v>
      </c>
      <c r="AK423" s="184" t="s">
        <v>1395</v>
      </c>
      <c r="AL423" s="184" t="s">
        <v>1431</v>
      </c>
      <c r="AM423" s="184" t="s">
        <v>1481</v>
      </c>
      <c r="AN423" s="184" t="s">
        <v>1539</v>
      </c>
      <c r="AO423" s="184">
        <v>12</v>
      </c>
    </row>
    <row r="424" spans="33:41" x14ac:dyDescent="0.25">
      <c r="AG424" s="65"/>
      <c r="AH424" s="65"/>
      <c r="AJ424" s="184" t="s">
        <v>593</v>
      </c>
      <c r="AK424" s="184" t="s">
        <v>1395</v>
      </c>
      <c r="AL424" s="184" t="s">
        <v>1431</v>
      </c>
      <c r="AM424" s="184" t="s">
        <v>1481</v>
      </c>
      <c r="AN424" s="184" t="s">
        <v>1539</v>
      </c>
      <c r="AO424" s="184">
        <v>12</v>
      </c>
    </row>
    <row r="425" spans="33:41" x14ac:dyDescent="0.25">
      <c r="AG425" s="65"/>
      <c r="AH425" s="65"/>
      <c r="AJ425" s="184" t="s">
        <v>594</v>
      </c>
      <c r="AK425" s="184" t="s">
        <v>1395</v>
      </c>
      <c r="AL425" s="184" t="s">
        <v>1431</v>
      </c>
      <c r="AM425" s="184" t="s">
        <v>1481</v>
      </c>
      <c r="AN425" s="184" t="s">
        <v>1539</v>
      </c>
      <c r="AO425" s="184">
        <v>12</v>
      </c>
    </row>
    <row r="426" spans="33:41" x14ac:dyDescent="0.25">
      <c r="AG426" s="65"/>
      <c r="AH426" s="65"/>
      <c r="AJ426" s="184" t="s">
        <v>595</v>
      </c>
      <c r="AK426" s="184" t="s">
        <v>1395</v>
      </c>
      <c r="AL426" s="184" t="s">
        <v>1431</v>
      </c>
      <c r="AM426" s="184" t="s">
        <v>1481</v>
      </c>
      <c r="AN426" s="184" t="s">
        <v>1539</v>
      </c>
      <c r="AO426" s="184">
        <v>12</v>
      </c>
    </row>
    <row r="427" spans="33:41" x14ac:dyDescent="0.25">
      <c r="AG427" s="65"/>
      <c r="AH427" s="65"/>
      <c r="AJ427" s="184" t="s">
        <v>1683</v>
      </c>
      <c r="AK427" s="184" t="s">
        <v>83</v>
      </c>
      <c r="AL427" s="184" t="s">
        <v>1433</v>
      </c>
      <c r="AM427" s="184" t="s">
        <v>1733</v>
      </c>
      <c r="AN427" s="184" t="s">
        <v>1536</v>
      </c>
      <c r="AO427" s="184">
        <v>24</v>
      </c>
    </row>
    <row r="428" spans="33:41" x14ac:dyDescent="0.25">
      <c r="AG428" s="65"/>
      <c r="AH428" s="65"/>
      <c r="AJ428" s="184" t="s">
        <v>596</v>
      </c>
      <c r="AK428" s="184" t="s">
        <v>144</v>
      </c>
      <c r="AL428" s="184" t="s">
        <v>1430</v>
      </c>
      <c r="AM428" s="184" t="s">
        <v>1485</v>
      </c>
      <c r="AN428" s="184" t="s">
        <v>1538</v>
      </c>
      <c r="AO428" s="184">
        <v>12</v>
      </c>
    </row>
    <row r="429" spans="33:41" x14ac:dyDescent="0.25">
      <c r="AG429" s="65"/>
      <c r="AH429" s="65"/>
      <c r="AJ429" s="184" t="s">
        <v>597</v>
      </c>
      <c r="AK429" s="184" t="s">
        <v>144</v>
      </c>
      <c r="AL429" s="184" t="s">
        <v>1430</v>
      </c>
      <c r="AM429" s="184" t="s">
        <v>1485</v>
      </c>
      <c r="AN429" s="184" t="s">
        <v>1538</v>
      </c>
      <c r="AO429" s="184">
        <v>12</v>
      </c>
    </row>
    <row r="430" spans="33:41" x14ac:dyDescent="0.25">
      <c r="AG430" s="65"/>
      <c r="AH430" s="65"/>
      <c r="AJ430" s="184" t="s">
        <v>598</v>
      </c>
      <c r="AK430" s="184" t="s">
        <v>144</v>
      </c>
      <c r="AL430" s="184" t="s">
        <v>1430</v>
      </c>
      <c r="AM430" s="184" t="s">
        <v>1485</v>
      </c>
      <c r="AN430" s="184" t="s">
        <v>1538</v>
      </c>
      <c r="AO430" s="184">
        <v>12</v>
      </c>
    </row>
    <row r="431" spans="33:41" x14ac:dyDescent="0.25">
      <c r="AG431" s="65"/>
      <c r="AH431" s="65"/>
      <c r="AJ431" s="184" t="s">
        <v>599</v>
      </c>
      <c r="AK431" s="184" t="s">
        <v>144</v>
      </c>
      <c r="AL431" s="184" t="s">
        <v>1430</v>
      </c>
      <c r="AM431" s="184" t="s">
        <v>1485</v>
      </c>
      <c r="AN431" s="184" t="s">
        <v>1538</v>
      </c>
      <c r="AO431" s="184">
        <v>12</v>
      </c>
    </row>
    <row r="432" spans="33:41" x14ac:dyDescent="0.25">
      <c r="AG432" s="65"/>
      <c r="AH432" s="65"/>
      <c r="AJ432" s="184" t="s">
        <v>600</v>
      </c>
      <c r="AK432" s="184" t="s">
        <v>1389</v>
      </c>
      <c r="AL432" s="184" t="s">
        <v>1430</v>
      </c>
      <c r="AM432" s="184" t="s">
        <v>1489</v>
      </c>
      <c r="AN432" s="184" t="s">
        <v>1538</v>
      </c>
      <c r="AO432" s="184">
        <v>12</v>
      </c>
    </row>
    <row r="433" spans="33:41" x14ac:dyDescent="0.25">
      <c r="AG433" s="65"/>
      <c r="AH433" s="65"/>
      <c r="AJ433" s="184" t="s">
        <v>601</v>
      </c>
      <c r="AK433" s="184" t="s">
        <v>1389</v>
      </c>
      <c r="AL433" s="184" t="s">
        <v>1430</v>
      </c>
      <c r="AM433" s="184" t="s">
        <v>1489</v>
      </c>
      <c r="AN433" s="184" t="s">
        <v>1538</v>
      </c>
      <c r="AO433" s="184">
        <v>12</v>
      </c>
    </row>
    <row r="434" spans="33:41" x14ac:dyDescent="0.25">
      <c r="AG434" s="65"/>
      <c r="AH434" s="65"/>
      <c r="AJ434" s="184" t="s">
        <v>602</v>
      </c>
      <c r="AK434" s="184" t="s">
        <v>146</v>
      </c>
      <c r="AL434" s="184" t="s">
        <v>1431</v>
      </c>
      <c r="AM434" s="184" t="s">
        <v>1495</v>
      </c>
      <c r="AN434" s="184" t="s">
        <v>1538</v>
      </c>
      <c r="AO434" s="184">
        <v>12</v>
      </c>
    </row>
    <row r="435" spans="33:41" x14ac:dyDescent="0.25">
      <c r="AG435" s="65"/>
      <c r="AH435" s="65"/>
      <c r="AJ435" s="184" t="s">
        <v>603</v>
      </c>
      <c r="AK435" s="184" t="s">
        <v>146</v>
      </c>
      <c r="AL435" s="184" t="s">
        <v>1430</v>
      </c>
      <c r="AM435" s="184" t="s">
        <v>1475</v>
      </c>
      <c r="AN435" s="184" t="s">
        <v>1538</v>
      </c>
      <c r="AO435" s="184">
        <v>12</v>
      </c>
    </row>
    <row r="436" spans="33:41" x14ac:dyDescent="0.25">
      <c r="AG436" s="65"/>
      <c r="AH436" s="65"/>
      <c r="AJ436" s="184" t="s">
        <v>604</v>
      </c>
      <c r="AK436" s="184" t="s">
        <v>146</v>
      </c>
      <c r="AL436" s="184" t="s">
        <v>1430</v>
      </c>
      <c r="AM436" s="184" t="s">
        <v>1475</v>
      </c>
      <c r="AN436" s="184" t="s">
        <v>1538</v>
      </c>
      <c r="AO436" s="184">
        <v>12</v>
      </c>
    </row>
    <row r="437" spans="33:41" x14ac:dyDescent="0.25">
      <c r="AG437" s="65"/>
      <c r="AH437" s="65"/>
      <c r="AJ437" s="184" t="s">
        <v>605</v>
      </c>
      <c r="AK437" s="184" t="s">
        <v>134</v>
      </c>
      <c r="AL437" s="184" t="s">
        <v>1430</v>
      </c>
      <c r="AM437" s="184" t="s">
        <v>1482</v>
      </c>
      <c r="AN437" s="184" t="s">
        <v>1538</v>
      </c>
      <c r="AO437" s="184">
        <v>12</v>
      </c>
    </row>
    <row r="438" spans="33:41" x14ac:dyDescent="0.25">
      <c r="AG438" s="65"/>
      <c r="AH438" s="65"/>
      <c r="AJ438" s="184" t="s">
        <v>606</v>
      </c>
      <c r="AK438" s="184" t="s">
        <v>134</v>
      </c>
      <c r="AL438" s="184" t="s">
        <v>1430</v>
      </c>
      <c r="AM438" s="184" t="s">
        <v>1491</v>
      </c>
      <c r="AN438" s="184" t="s">
        <v>1538</v>
      </c>
      <c r="AO438" s="184">
        <v>12</v>
      </c>
    </row>
    <row r="439" spans="33:41" x14ac:dyDescent="0.25">
      <c r="AG439" s="65"/>
      <c r="AH439" s="65"/>
      <c r="AJ439" s="184" t="s">
        <v>607</v>
      </c>
      <c r="AK439" s="184" t="s">
        <v>134</v>
      </c>
      <c r="AL439" s="184" t="s">
        <v>1430</v>
      </c>
      <c r="AM439" s="184" t="s">
        <v>1482</v>
      </c>
      <c r="AN439" s="184" t="s">
        <v>1538</v>
      </c>
      <c r="AO439" s="184">
        <v>12</v>
      </c>
    </row>
    <row r="440" spans="33:41" x14ac:dyDescent="0.25">
      <c r="AG440" s="65"/>
      <c r="AH440" s="65"/>
      <c r="AJ440" s="184" t="s">
        <v>608</v>
      </c>
      <c r="AK440" s="184" t="s">
        <v>134</v>
      </c>
      <c r="AL440" s="184" t="s">
        <v>1430</v>
      </c>
      <c r="AM440" s="184" t="s">
        <v>1491</v>
      </c>
      <c r="AN440" s="184" t="s">
        <v>1538</v>
      </c>
      <c r="AO440" s="184">
        <v>12</v>
      </c>
    </row>
    <row r="441" spans="33:41" x14ac:dyDescent="0.25">
      <c r="AG441" s="65"/>
      <c r="AH441" s="65"/>
      <c r="AJ441" s="184" t="s">
        <v>609</v>
      </c>
      <c r="AK441" s="184" t="s">
        <v>155</v>
      </c>
      <c r="AL441" s="184" t="s">
        <v>1430</v>
      </c>
      <c r="AM441" s="184" t="s">
        <v>59</v>
      </c>
      <c r="AN441" s="184" t="s">
        <v>1537</v>
      </c>
      <c r="AO441" s="184">
        <v>12</v>
      </c>
    </row>
    <row r="442" spans="33:41" x14ac:dyDescent="0.25">
      <c r="AG442" s="65"/>
      <c r="AH442" s="65"/>
      <c r="AJ442" s="184" t="s">
        <v>610</v>
      </c>
      <c r="AK442" s="184" t="s">
        <v>158</v>
      </c>
      <c r="AL442" s="184" t="s">
        <v>1430</v>
      </c>
      <c r="AM442" s="184" t="s">
        <v>1485</v>
      </c>
      <c r="AN442" s="184" t="s">
        <v>1538</v>
      </c>
      <c r="AO442" s="184">
        <v>12</v>
      </c>
    </row>
    <row r="443" spans="33:41" x14ac:dyDescent="0.25">
      <c r="AG443" s="65"/>
      <c r="AH443" s="65"/>
      <c r="AJ443" s="184" t="s">
        <v>611</v>
      </c>
      <c r="AK443" s="184" t="s">
        <v>158</v>
      </c>
      <c r="AL443" s="184" t="s">
        <v>1430</v>
      </c>
      <c r="AM443" s="184" t="s">
        <v>1485</v>
      </c>
      <c r="AN443" s="184" t="s">
        <v>1538</v>
      </c>
      <c r="AO443" s="184">
        <v>12</v>
      </c>
    </row>
    <row r="444" spans="33:41" x14ac:dyDescent="0.25">
      <c r="AG444" s="65"/>
      <c r="AH444" s="65"/>
      <c r="AJ444" s="184" t="s">
        <v>612</v>
      </c>
      <c r="AK444" s="184" t="s">
        <v>140</v>
      </c>
      <c r="AL444" s="184" t="s">
        <v>1430</v>
      </c>
      <c r="AM444" s="184" t="s">
        <v>1496</v>
      </c>
      <c r="AN444" s="184" t="s">
        <v>1539</v>
      </c>
      <c r="AO444" s="184">
        <v>12</v>
      </c>
    </row>
    <row r="445" spans="33:41" x14ac:dyDescent="0.25">
      <c r="AG445" s="65"/>
      <c r="AH445" s="65"/>
      <c r="AJ445" s="184" t="s">
        <v>613</v>
      </c>
      <c r="AK445" s="184" t="s">
        <v>140</v>
      </c>
      <c r="AL445" s="184" t="s">
        <v>1430</v>
      </c>
      <c r="AM445" s="184" t="s">
        <v>1496</v>
      </c>
      <c r="AN445" s="184" t="s">
        <v>1539</v>
      </c>
      <c r="AO445" s="184">
        <v>12</v>
      </c>
    </row>
    <row r="446" spans="33:41" x14ac:dyDescent="0.25">
      <c r="AG446" s="65"/>
      <c r="AH446" s="65"/>
      <c r="AJ446" s="184" t="s">
        <v>614</v>
      </c>
      <c r="AK446" s="184" t="s">
        <v>140</v>
      </c>
      <c r="AL446" s="184" t="s">
        <v>1430</v>
      </c>
      <c r="AM446" s="184" t="s">
        <v>1497</v>
      </c>
      <c r="AN446" s="184" t="s">
        <v>1539</v>
      </c>
      <c r="AO446" s="184">
        <v>12</v>
      </c>
    </row>
    <row r="447" spans="33:41" x14ac:dyDescent="0.25">
      <c r="AG447" s="65"/>
      <c r="AH447" s="65"/>
      <c r="AJ447" s="184" t="s">
        <v>615</v>
      </c>
      <c r="AK447" s="184" t="s">
        <v>140</v>
      </c>
      <c r="AL447" s="184" t="s">
        <v>1430</v>
      </c>
      <c r="AM447" s="184" t="s">
        <v>1497</v>
      </c>
      <c r="AN447" s="184" t="s">
        <v>1539</v>
      </c>
      <c r="AO447" s="184">
        <v>12</v>
      </c>
    </row>
    <row r="448" spans="33:41" x14ac:dyDescent="0.25">
      <c r="AG448" s="65"/>
      <c r="AH448" s="65"/>
      <c r="AJ448" s="184" t="s">
        <v>616</v>
      </c>
      <c r="AK448" s="184" t="s">
        <v>136</v>
      </c>
      <c r="AL448" s="184" t="s">
        <v>1430</v>
      </c>
      <c r="AM448" s="184" t="s">
        <v>1498</v>
      </c>
      <c r="AN448" s="184" t="s">
        <v>1539</v>
      </c>
      <c r="AO448" s="184">
        <v>6</v>
      </c>
    </row>
    <row r="449" spans="33:41" x14ac:dyDescent="0.25">
      <c r="AG449" s="65"/>
      <c r="AH449" s="65"/>
      <c r="AJ449" s="184" t="s">
        <v>617</v>
      </c>
      <c r="AK449" s="184" t="s">
        <v>136</v>
      </c>
      <c r="AL449" s="184" t="s">
        <v>1430</v>
      </c>
      <c r="AM449" s="184" t="s">
        <v>1497</v>
      </c>
      <c r="AN449" s="184" t="s">
        <v>1539</v>
      </c>
      <c r="AO449" s="184">
        <v>6</v>
      </c>
    </row>
    <row r="450" spans="33:41" x14ac:dyDescent="0.25">
      <c r="AG450" s="65"/>
      <c r="AH450" s="65"/>
      <c r="AJ450" s="184" t="s">
        <v>618</v>
      </c>
      <c r="AK450" s="184" t="s">
        <v>136</v>
      </c>
      <c r="AL450" s="184" t="s">
        <v>1430</v>
      </c>
      <c r="AM450" s="184" t="s">
        <v>1499</v>
      </c>
      <c r="AN450" s="184" t="s">
        <v>1539</v>
      </c>
      <c r="AO450" s="184">
        <v>6</v>
      </c>
    </row>
    <row r="451" spans="33:41" x14ac:dyDescent="0.25">
      <c r="AG451" s="65"/>
      <c r="AH451" s="65"/>
      <c r="AJ451" s="184" t="s">
        <v>619</v>
      </c>
      <c r="AK451" s="184" t="s">
        <v>136</v>
      </c>
      <c r="AL451" s="184" t="s">
        <v>1430</v>
      </c>
      <c r="AM451" s="184" t="s">
        <v>1496</v>
      </c>
      <c r="AN451" s="184" t="s">
        <v>1539</v>
      </c>
      <c r="AO451" s="184">
        <v>6</v>
      </c>
    </row>
    <row r="452" spans="33:41" x14ac:dyDescent="0.25">
      <c r="AG452" s="65"/>
      <c r="AH452" s="65"/>
      <c r="AJ452" s="184" t="s">
        <v>620</v>
      </c>
      <c r="AK452" s="184" t="s">
        <v>136</v>
      </c>
      <c r="AL452" s="184" t="s">
        <v>1430</v>
      </c>
      <c r="AM452" s="184" t="s">
        <v>1497</v>
      </c>
      <c r="AN452" s="184" t="s">
        <v>1539</v>
      </c>
      <c r="AO452" s="184">
        <v>6</v>
      </c>
    </row>
    <row r="453" spans="33:41" x14ac:dyDescent="0.25">
      <c r="AG453" s="65"/>
      <c r="AH453" s="65"/>
      <c r="AJ453" s="184" t="s">
        <v>621</v>
      </c>
      <c r="AK453" s="184" t="s">
        <v>136</v>
      </c>
      <c r="AL453" s="184" t="s">
        <v>1430</v>
      </c>
      <c r="AM453" s="184" t="s">
        <v>1500</v>
      </c>
      <c r="AN453" s="184" t="s">
        <v>1539</v>
      </c>
      <c r="AO453" s="184">
        <v>6</v>
      </c>
    </row>
    <row r="454" spans="33:41" x14ac:dyDescent="0.25">
      <c r="AG454" s="65"/>
      <c r="AH454" s="65"/>
      <c r="AJ454" s="184" t="s">
        <v>622</v>
      </c>
      <c r="AK454" s="184" t="s">
        <v>136</v>
      </c>
      <c r="AL454" s="184" t="s">
        <v>1430</v>
      </c>
      <c r="AM454" s="184" t="s">
        <v>1498</v>
      </c>
      <c r="AN454" s="184" t="s">
        <v>1539</v>
      </c>
      <c r="AO454" s="184">
        <v>6</v>
      </c>
    </row>
    <row r="455" spans="33:41" x14ac:dyDescent="0.25">
      <c r="AG455" s="65"/>
      <c r="AH455" s="65"/>
      <c r="AJ455" s="184" t="s">
        <v>623</v>
      </c>
      <c r="AK455" s="184" t="s">
        <v>136</v>
      </c>
      <c r="AL455" s="184" t="s">
        <v>1430</v>
      </c>
      <c r="AM455" s="184" t="s">
        <v>1462</v>
      </c>
      <c r="AN455" s="184" t="s">
        <v>1539</v>
      </c>
      <c r="AO455" s="184">
        <v>6</v>
      </c>
    </row>
    <row r="456" spans="33:41" x14ac:dyDescent="0.25">
      <c r="AG456" s="65"/>
      <c r="AH456" s="65"/>
      <c r="AJ456" s="184" t="s">
        <v>624</v>
      </c>
      <c r="AK456" s="184" t="s">
        <v>135</v>
      </c>
      <c r="AL456" s="184" t="s">
        <v>1430</v>
      </c>
      <c r="AM456" s="184" t="s">
        <v>1486</v>
      </c>
      <c r="AN456" s="184" t="s">
        <v>1538</v>
      </c>
      <c r="AO456" s="184">
        <v>12</v>
      </c>
    </row>
    <row r="457" spans="33:41" x14ac:dyDescent="0.25">
      <c r="AG457" s="65"/>
      <c r="AH457" s="65"/>
      <c r="AJ457" s="184" t="s">
        <v>625</v>
      </c>
      <c r="AK457" s="184" t="s">
        <v>135</v>
      </c>
      <c r="AL457" s="184" t="s">
        <v>1430</v>
      </c>
      <c r="AM457" s="184" t="s">
        <v>1486</v>
      </c>
      <c r="AN457" s="184" t="s">
        <v>1538</v>
      </c>
      <c r="AO457" s="184">
        <v>12</v>
      </c>
    </row>
    <row r="458" spans="33:41" x14ac:dyDescent="0.25">
      <c r="AG458" s="65"/>
      <c r="AH458" s="65"/>
      <c r="AJ458" s="184" t="s">
        <v>626</v>
      </c>
      <c r="AK458" s="184" t="s">
        <v>135</v>
      </c>
      <c r="AL458" s="184" t="s">
        <v>1430</v>
      </c>
      <c r="AM458" s="184" t="s">
        <v>1486</v>
      </c>
      <c r="AN458" s="184" t="s">
        <v>1538</v>
      </c>
      <c r="AO458" s="184">
        <v>12</v>
      </c>
    </row>
    <row r="459" spans="33:41" x14ac:dyDescent="0.25">
      <c r="AG459" s="65"/>
      <c r="AH459" s="65"/>
      <c r="AJ459" s="184" t="s">
        <v>627</v>
      </c>
      <c r="AK459" s="184" t="s">
        <v>135</v>
      </c>
      <c r="AL459" s="184" t="s">
        <v>1430</v>
      </c>
      <c r="AM459" s="184" t="s">
        <v>1486</v>
      </c>
      <c r="AN459" s="184" t="s">
        <v>1538</v>
      </c>
      <c r="AO459" s="184">
        <v>12</v>
      </c>
    </row>
    <row r="460" spans="33:41" x14ac:dyDescent="0.25">
      <c r="AG460" s="65"/>
      <c r="AH460" s="65"/>
      <c r="AJ460" s="184" t="s">
        <v>628</v>
      </c>
      <c r="AK460" s="184" t="s">
        <v>135</v>
      </c>
      <c r="AL460" s="184" t="s">
        <v>1430</v>
      </c>
      <c r="AM460" s="184" t="s">
        <v>1486</v>
      </c>
      <c r="AN460" s="184" t="s">
        <v>1538</v>
      </c>
      <c r="AO460" s="184">
        <v>12</v>
      </c>
    </row>
    <row r="461" spans="33:41" x14ac:dyDescent="0.25">
      <c r="AG461" s="65"/>
      <c r="AH461" s="65"/>
      <c r="AJ461" s="184" t="s">
        <v>629</v>
      </c>
      <c r="AK461" s="184" t="s">
        <v>135</v>
      </c>
      <c r="AL461" s="184" t="s">
        <v>1430</v>
      </c>
      <c r="AM461" s="184" t="s">
        <v>1486</v>
      </c>
      <c r="AN461" s="184" t="s">
        <v>1538</v>
      </c>
      <c r="AO461" s="184">
        <v>12</v>
      </c>
    </row>
    <row r="462" spans="33:41" x14ac:dyDescent="0.25">
      <c r="AG462" s="65"/>
      <c r="AH462" s="65"/>
      <c r="AJ462" s="184" t="s">
        <v>630</v>
      </c>
      <c r="AK462" s="184" t="s">
        <v>135</v>
      </c>
      <c r="AL462" s="184" t="s">
        <v>1430</v>
      </c>
      <c r="AM462" s="184" t="s">
        <v>1486</v>
      </c>
      <c r="AN462" s="184" t="s">
        <v>1538</v>
      </c>
      <c r="AO462" s="184">
        <v>12</v>
      </c>
    </row>
    <row r="463" spans="33:41" x14ac:dyDescent="0.25">
      <c r="AG463" s="65"/>
      <c r="AH463" s="65"/>
      <c r="AJ463" s="184" t="s">
        <v>631</v>
      </c>
      <c r="AK463" s="184" t="s">
        <v>135</v>
      </c>
      <c r="AL463" s="184" t="s">
        <v>1430</v>
      </c>
      <c r="AM463" s="184" t="s">
        <v>1497</v>
      </c>
      <c r="AN463" s="184" t="s">
        <v>1539</v>
      </c>
      <c r="AO463" s="184">
        <v>12</v>
      </c>
    </row>
    <row r="464" spans="33:41" x14ac:dyDescent="0.25">
      <c r="AG464" s="65"/>
      <c r="AH464" s="65"/>
      <c r="AJ464" s="184" t="s">
        <v>632</v>
      </c>
      <c r="AK464" s="184" t="s">
        <v>135</v>
      </c>
      <c r="AL464" s="184" t="s">
        <v>1430</v>
      </c>
      <c r="AM464" s="184" t="s">
        <v>1497</v>
      </c>
      <c r="AN464" s="184" t="s">
        <v>1539</v>
      </c>
      <c r="AO464" s="184">
        <v>12</v>
      </c>
    </row>
    <row r="465" spans="33:41" x14ac:dyDescent="0.25">
      <c r="AG465" s="65"/>
      <c r="AH465" s="65"/>
      <c r="AJ465" s="184" t="s">
        <v>633</v>
      </c>
      <c r="AK465" s="184" t="s">
        <v>135</v>
      </c>
      <c r="AL465" s="184" t="s">
        <v>1430</v>
      </c>
      <c r="AM465" s="184" t="s">
        <v>1486</v>
      </c>
      <c r="AN465" s="184" t="s">
        <v>1538</v>
      </c>
      <c r="AO465" s="184">
        <v>12</v>
      </c>
    </row>
    <row r="466" spans="33:41" x14ac:dyDescent="0.25">
      <c r="AG466" s="65"/>
      <c r="AH466" s="65"/>
      <c r="AJ466" s="184" t="s">
        <v>634</v>
      </c>
      <c r="AK466" s="184" t="s">
        <v>135</v>
      </c>
      <c r="AL466" s="184" t="s">
        <v>1430</v>
      </c>
      <c r="AM466" s="184" t="s">
        <v>1486</v>
      </c>
      <c r="AN466" s="184" t="s">
        <v>1538</v>
      </c>
      <c r="AO466" s="184">
        <v>12</v>
      </c>
    </row>
    <row r="467" spans="33:41" x14ac:dyDescent="0.25">
      <c r="AG467" s="65"/>
      <c r="AH467" s="65"/>
      <c r="AJ467" s="184" t="s">
        <v>635</v>
      </c>
      <c r="AK467" s="184" t="s">
        <v>135</v>
      </c>
      <c r="AL467" s="184" t="s">
        <v>1430</v>
      </c>
      <c r="AM467" s="184" t="s">
        <v>1486</v>
      </c>
      <c r="AN467" s="184" t="s">
        <v>1538</v>
      </c>
      <c r="AO467" s="184">
        <v>12</v>
      </c>
    </row>
    <row r="468" spans="33:41" x14ac:dyDescent="0.25">
      <c r="AG468" s="65"/>
      <c r="AH468" s="65"/>
      <c r="AJ468" s="184" t="s">
        <v>636</v>
      </c>
      <c r="AK468" s="184" t="s">
        <v>1396</v>
      </c>
      <c r="AL468" s="184" t="s">
        <v>1430</v>
      </c>
      <c r="AM468" s="184" t="s">
        <v>1449</v>
      </c>
      <c r="AN468" s="184" t="s">
        <v>1537</v>
      </c>
      <c r="AO468" s="184">
        <v>12</v>
      </c>
    </row>
    <row r="469" spans="33:41" x14ac:dyDescent="0.25">
      <c r="AG469" s="65"/>
      <c r="AH469" s="65"/>
      <c r="AJ469" s="184" t="s">
        <v>637</v>
      </c>
      <c r="AK469" s="184" t="s">
        <v>132</v>
      </c>
      <c r="AL469" s="184" t="s">
        <v>1430</v>
      </c>
      <c r="AM469" s="184" t="s">
        <v>1675</v>
      </c>
      <c r="AN469" s="184" t="s">
        <v>1538</v>
      </c>
      <c r="AO469" s="184">
        <v>12</v>
      </c>
    </row>
    <row r="470" spans="33:41" x14ac:dyDescent="0.25">
      <c r="AG470" s="65"/>
      <c r="AH470" s="65"/>
      <c r="AJ470" s="184" t="s">
        <v>638</v>
      </c>
      <c r="AK470" s="184" t="s">
        <v>132</v>
      </c>
      <c r="AL470" s="184" t="s">
        <v>1430</v>
      </c>
      <c r="AM470" s="184" t="s">
        <v>1734</v>
      </c>
      <c r="AN470" s="184" t="s">
        <v>1538</v>
      </c>
      <c r="AO470" s="184">
        <v>12</v>
      </c>
    </row>
    <row r="471" spans="33:41" x14ac:dyDescent="0.25">
      <c r="AG471" s="65"/>
      <c r="AH471" s="65"/>
      <c r="AJ471" s="184" t="s">
        <v>639</v>
      </c>
      <c r="AK471" s="184" t="s">
        <v>1397</v>
      </c>
      <c r="AL471" s="184" t="s">
        <v>1430</v>
      </c>
      <c r="AM471" s="184" t="s">
        <v>1484</v>
      </c>
      <c r="AN471" s="184" t="s">
        <v>99</v>
      </c>
      <c r="AO471" s="184">
        <v>12</v>
      </c>
    </row>
    <row r="472" spans="33:41" x14ac:dyDescent="0.25">
      <c r="AG472" s="65"/>
      <c r="AH472" s="65"/>
      <c r="AJ472" s="184" t="s">
        <v>640</v>
      </c>
      <c r="AK472" s="184" t="s">
        <v>1398</v>
      </c>
      <c r="AL472" s="184" t="s">
        <v>1430</v>
      </c>
      <c r="AM472" s="184" t="s">
        <v>1484</v>
      </c>
      <c r="AN472" s="184" t="s">
        <v>99</v>
      </c>
      <c r="AO472" s="184">
        <v>12</v>
      </c>
    </row>
    <row r="473" spans="33:41" x14ac:dyDescent="0.25">
      <c r="AG473" s="65"/>
      <c r="AH473" s="65"/>
      <c r="AJ473" s="184" t="s">
        <v>641</v>
      </c>
      <c r="AK473" s="184" t="s">
        <v>1397</v>
      </c>
      <c r="AL473" s="184" t="s">
        <v>1430</v>
      </c>
      <c r="AM473" s="184" t="s">
        <v>1484</v>
      </c>
      <c r="AN473" s="184" t="s">
        <v>99</v>
      </c>
      <c r="AO473" s="184">
        <v>12</v>
      </c>
    </row>
    <row r="474" spans="33:41" x14ac:dyDescent="0.25">
      <c r="AG474" s="65"/>
      <c r="AH474" s="65"/>
      <c r="AJ474" s="184" t="s">
        <v>642</v>
      </c>
      <c r="AK474" s="184" t="s">
        <v>1398</v>
      </c>
      <c r="AL474" s="184" t="s">
        <v>1430</v>
      </c>
      <c r="AM474" s="184" t="s">
        <v>1484</v>
      </c>
      <c r="AN474" s="184" t="s">
        <v>99</v>
      </c>
      <c r="AO474" s="184">
        <v>12</v>
      </c>
    </row>
    <row r="475" spans="33:41" x14ac:dyDescent="0.25">
      <c r="AG475" s="65"/>
      <c r="AH475" s="65"/>
      <c r="AJ475" s="184" t="s">
        <v>643</v>
      </c>
      <c r="AK475" s="184" t="s">
        <v>133</v>
      </c>
      <c r="AL475" s="184" t="s">
        <v>1430</v>
      </c>
      <c r="AM475" s="184" t="s">
        <v>59</v>
      </c>
      <c r="AN475" s="184" t="s">
        <v>1537</v>
      </c>
      <c r="AO475" s="184">
        <v>12</v>
      </c>
    </row>
    <row r="476" spans="33:41" x14ac:dyDescent="0.25">
      <c r="AG476" s="65"/>
      <c r="AH476" s="65"/>
      <c r="AJ476" s="184" t="s">
        <v>167</v>
      </c>
      <c r="AK476" s="184" t="s">
        <v>83</v>
      </c>
      <c r="AL476" s="184" t="s">
        <v>1430</v>
      </c>
      <c r="AM476" s="184" t="s">
        <v>59</v>
      </c>
      <c r="AN476" s="184" t="s">
        <v>1537</v>
      </c>
      <c r="AO476" s="184">
        <v>12</v>
      </c>
    </row>
    <row r="477" spans="33:41" x14ac:dyDescent="0.25">
      <c r="AG477" s="65"/>
      <c r="AH477" s="65"/>
      <c r="AJ477" s="184" t="s">
        <v>644</v>
      </c>
      <c r="AK477" s="184" t="s">
        <v>1399</v>
      </c>
      <c r="AL477" s="184" t="s">
        <v>1430</v>
      </c>
      <c r="AM477" s="184" t="s">
        <v>59</v>
      </c>
      <c r="AN477" s="184" t="s">
        <v>1540</v>
      </c>
      <c r="AO477" s="184">
        <v>12</v>
      </c>
    </row>
    <row r="478" spans="33:41" x14ac:dyDescent="0.25">
      <c r="AG478" s="65"/>
      <c r="AH478" s="65"/>
      <c r="AJ478" s="184" t="s">
        <v>162</v>
      </c>
      <c r="AK478" s="184" t="s">
        <v>1400</v>
      </c>
      <c r="AL478" s="184" t="s">
        <v>1430</v>
      </c>
      <c r="AM478" s="184" t="s">
        <v>1501</v>
      </c>
      <c r="AN478" s="184" t="s">
        <v>1537</v>
      </c>
      <c r="AO478" s="184">
        <v>12</v>
      </c>
    </row>
    <row r="479" spans="33:41" x14ac:dyDescent="0.25">
      <c r="AG479" s="65"/>
      <c r="AH479" s="65"/>
      <c r="AJ479" s="184" t="s">
        <v>168</v>
      </c>
      <c r="AK479" s="184" t="s">
        <v>83</v>
      </c>
      <c r="AL479" s="184" t="s">
        <v>1430</v>
      </c>
      <c r="AM479" s="184" t="s">
        <v>1501</v>
      </c>
      <c r="AN479" s="184" t="s">
        <v>1537</v>
      </c>
      <c r="AO479" s="184">
        <v>12</v>
      </c>
    </row>
    <row r="480" spans="33:41" x14ac:dyDescent="0.25">
      <c r="AG480" s="65"/>
      <c r="AH480" s="65"/>
      <c r="AJ480" s="184" t="s">
        <v>645</v>
      </c>
      <c r="AK480" s="184" t="s">
        <v>1398</v>
      </c>
      <c r="AL480" s="184" t="s">
        <v>1430</v>
      </c>
      <c r="AM480" s="184" t="s">
        <v>1502</v>
      </c>
      <c r="AN480" s="184" t="s">
        <v>1541</v>
      </c>
      <c r="AO480" s="184">
        <v>12</v>
      </c>
    </row>
    <row r="481" spans="33:41" x14ac:dyDescent="0.25">
      <c r="AG481" s="65"/>
      <c r="AH481" s="65"/>
      <c r="AJ481" s="184" t="s">
        <v>646</v>
      </c>
      <c r="AK481" s="184" t="s">
        <v>1397</v>
      </c>
      <c r="AL481" s="184" t="s">
        <v>1430</v>
      </c>
      <c r="AM481" s="184" t="s">
        <v>1502</v>
      </c>
      <c r="AN481" s="184" t="s">
        <v>1541</v>
      </c>
      <c r="AO481" s="184">
        <v>12</v>
      </c>
    </row>
    <row r="482" spans="33:41" x14ac:dyDescent="0.25">
      <c r="AG482" s="65"/>
      <c r="AH482" s="65"/>
      <c r="AJ482" s="184" t="s">
        <v>647</v>
      </c>
      <c r="AK482" s="184" t="s">
        <v>83</v>
      </c>
      <c r="AL482" s="184" t="s">
        <v>1430</v>
      </c>
      <c r="AM482" s="184" t="s">
        <v>1503</v>
      </c>
      <c r="AN482" s="184" t="s">
        <v>1538</v>
      </c>
      <c r="AO482" s="184">
        <v>12</v>
      </c>
    </row>
    <row r="483" spans="33:41" x14ac:dyDescent="0.25">
      <c r="AG483" s="65"/>
      <c r="AH483" s="65"/>
      <c r="AJ483" s="184" t="s">
        <v>648</v>
      </c>
      <c r="AK483" s="184" t="s">
        <v>83</v>
      </c>
      <c r="AL483" s="184" t="s">
        <v>1430</v>
      </c>
      <c r="AM483" s="184" t="s">
        <v>1498</v>
      </c>
      <c r="AN483" s="184" t="s">
        <v>1539</v>
      </c>
      <c r="AO483" s="184">
        <v>12</v>
      </c>
    </row>
    <row r="484" spans="33:41" x14ac:dyDescent="0.25">
      <c r="AG484" s="65"/>
      <c r="AH484" s="65"/>
      <c r="AJ484" s="184" t="s">
        <v>649</v>
      </c>
      <c r="AK484" s="184" t="s">
        <v>143</v>
      </c>
      <c r="AL484" s="184" t="s">
        <v>1430</v>
      </c>
      <c r="AM484" s="184" t="s">
        <v>1443</v>
      </c>
      <c r="AN484" s="184" t="s">
        <v>1536</v>
      </c>
      <c r="AO484" s="184">
        <v>6</v>
      </c>
    </row>
    <row r="485" spans="33:41" x14ac:dyDescent="0.25">
      <c r="AG485" s="65"/>
      <c r="AH485" s="65"/>
      <c r="AJ485" s="184" t="s">
        <v>650</v>
      </c>
      <c r="AK485" s="184" t="s">
        <v>143</v>
      </c>
      <c r="AL485" s="184" t="s">
        <v>1430</v>
      </c>
      <c r="AM485" s="184" t="s">
        <v>1443</v>
      </c>
      <c r="AN485" s="184" t="s">
        <v>1536</v>
      </c>
      <c r="AO485" s="184">
        <v>6</v>
      </c>
    </row>
    <row r="486" spans="33:41" x14ac:dyDescent="0.25">
      <c r="AG486" s="65"/>
      <c r="AH486" s="65"/>
      <c r="AJ486" s="184" t="s">
        <v>651</v>
      </c>
      <c r="AK486" s="184" t="s">
        <v>149</v>
      </c>
      <c r="AL486" s="184" t="s">
        <v>1430</v>
      </c>
      <c r="AM486" s="184" t="s">
        <v>1459</v>
      </c>
      <c r="AN486" s="184" t="s">
        <v>137</v>
      </c>
      <c r="AO486" s="184">
        <v>12</v>
      </c>
    </row>
    <row r="487" spans="33:41" x14ac:dyDescent="0.25">
      <c r="AG487" s="65"/>
      <c r="AH487" s="65"/>
      <c r="AJ487" s="184" t="s">
        <v>652</v>
      </c>
      <c r="AK487" s="184" t="s">
        <v>156</v>
      </c>
      <c r="AL487" s="184" t="s">
        <v>1430</v>
      </c>
      <c r="AM487" s="184" t="s">
        <v>1471</v>
      </c>
      <c r="AN487" s="184" t="s">
        <v>1471</v>
      </c>
      <c r="AO487" s="184">
        <v>12</v>
      </c>
    </row>
    <row r="488" spans="33:41" x14ac:dyDescent="0.25">
      <c r="AG488" s="65"/>
      <c r="AH488" s="65"/>
      <c r="AJ488" s="184" t="s">
        <v>653</v>
      </c>
      <c r="AK488" s="184" t="s">
        <v>1401</v>
      </c>
      <c r="AL488" s="184" t="s">
        <v>1430</v>
      </c>
      <c r="AM488" s="184" t="s">
        <v>59</v>
      </c>
      <c r="AN488" s="184" t="s">
        <v>1540</v>
      </c>
      <c r="AO488" s="184">
        <v>12</v>
      </c>
    </row>
    <row r="489" spans="33:41" x14ac:dyDescent="0.25">
      <c r="AG489" s="65"/>
      <c r="AH489" s="65"/>
      <c r="AJ489" s="184" t="s">
        <v>654</v>
      </c>
      <c r="AK489" s="184" t="s">
        <v>96</v>
      </c>
      <c r="AL489" s="184" t="s">
        <v>1430</v>
      </c>
      <c r="AM489" s="184" t="s">
        <v>1467</v>
      </c>
      <c r="AN489" s="184" t="s">
        <v>137</v>
      </c>
      <c r="AO489" s="184">
        <v>12</v>
      </c>
    </row>
    <row r="490" spans="33:41" x14ac:dyDescent="0.25">
      <c r="AG490" s="65"/>
      <c r="AH490" s="65"/>
      <c r="AJ490" s="184" t="s">
        <v>655</v>
      </c>
      <c r="AK490" s="184" t="s">
        <v>100</v>
      </c>
      <c r="AL490" s="184" t="s">
        <v>1430</v>
      </c>
      <c r="AM490" s="184" t="s">
        <v>1467</v>
      </c>
      <c r="AN490" s="184" t="s">
        <v>137</v>
      </c>
      <c r="AO490" s="184">
        <v>12</v>
      </c>
    </row>
    <row r="491" spans="33:41" x14ac:dyDescent="0.25">
      <c r="AG491" s="65"/>
      <c r="AH491" s="65"/>
      <c r="AJ491" s="184" t="s">
        <v>656</v>
      </c>
      <c r="AK491" s="184" t="s">
        <v>1401</v>
      </c>
      <c r="AL491" s="184" t="s">
        <v>1430</v>
      </c>
      <c r="AM491" s="184" t="s">
        <v>1444</v>
      </c>
      <c r="AN491" s="184" t="s">
        <v>137</v>
      </c>
      <c r="AO491" s="184">
        <v>12</v>
      </c>
    </row>
    <row r="492" spans="33:41" x14ac:dyDescent="0.25">
      <c r="AG492" s="65"/>
      <c r="AH492" s="65"/>
      <c r="AJ492" s="184" t="s">
        <v>657</v>
      </c>
      <c r="AK492" s="184" t="s">
        <v>139</v>
      </c>
      <c r="AL492" s="184" t="s">
        <v>1430</v>
      </c>
      <c r="AM492" s="184" t="s">
        <v>59</v>
      </c>
      <c r="AN492" s="184" t="s">
        <v>1540</v>
      </c>
      <c r="AO492" s="184">
        <v>12</v>
      </c>
    </row>
    <row r="493" spans="33:41" x14ac:dyDescent="0.25">
      <c r="AG493" s="65"/>
      <c r="AH493" s="65"/>
      <c r="AJ493" s="184" t="s">
        <v>658</v>
      </c>
      <c r="AK493" s="184" t="s">
        <v>102</v>
      </c>
      <c r="AL493" s="184" t="s">
        <v>1430</v>
      </c>
      <c r="AM493" s="184" t="s">
        <v>1453</v>
      </c>
      <c r="AN493" s="184" t="s">
        <v>137</v>
      </c>
      <c r="AO493" s="184">
        <v>12</v>
      </c>
    </row>
    <row r="494" spans="33:41" x14ac:dyDescent="0.25">
      <c r="AG494" s="65"/>
      <c r="AH494" s="65"/>
      <c r="AJ494" s="184" t="s">
        <v>659</v>
      </c>
      <c r="AK494" s="184" t="s">
        <v>96</v>
      </c>
      <c r="AL494" s="184" t="s">
        <v>1430</v>
      </c>
      <c r="AM494" s="184" t="s">
        <v>1459</v>
      </c>
      <c r="AN494" s="184" t="s">
        <v>137</v>
      </c>
      <c r="AO494" s="184">
        <v>12</v>
      </c>
    </row>
    <row r="495" spans="33:41" x14ac:dyDescent="0.25">
      <c r="AG495" s="65"/>
      <c r="AH495" s="65"/>
      <c r="AJ495" s="184" t="s">
        <v>660</v>
      </c>
      <c r="AK495" s="184" t="s">
        <v>1402</v>
      </c>
      <c r="AL495" s="184" t="s">
        <v>1430</v>
      </c>
      <c r="AM495" s="184" t="s">
        <v>1459</v>
      </c>
      <c r="AN495" s="184" t="s">
        <v>137</v>
      </c>
      <c r="AO495" s="184">
        <v>12</v>
      </c>
    </row>
    <row r="496" spans="33:41" x14ac:dyDescent="0.25">
      <c r="AG496" s="65"/>
      <c r="AH496" s="65"/>
      <c r="AJ496" s="184" t="s">
        <v>661</v>
      </c>
      <c r="AK496" s="184" t="s">
        <v>83</v>
      </c>
      <c r="AL496" s="184" t="s">
        <v>1430</v>
      </c>
      <c r="AM496" s="184" t="s">
        <v>1452</v>
      </c>
      <c r="AN496" s="184" t="s">
        <v>137</v>
      </c>
      <c r="AO496" s="184">
        <v>12</v>
      </c>
    </row>
    <row r="497" spans="33:41" x14ac:dyDescent="0.25">
      <c r="AG497" s="65"/>
      <c r="AH497" s="65"/>
      <c r="AJ497" s="184" t="s">
        <v>662</v>
      </c>
      <c r="AK497" s="184" t="s">
        <v>101</v>
      </c>
      <c r="AL497" s="184" t="s">
        <v>1430</v>
      </c>
      <c r="AM497" s="184" t="s">
        <v>1452</v>
      </c>
      <c r="AN497" s="184" t="s">
        <v>137</v>
      </c>
      <c r="AO497" s="184">
        <v>12</v>
      </c>
    </row>
    <row r="498" spans="33:41" x14ac:dyDescent="0.25">
      <c r="AG498" s="65"/>
      <c r="AH498" s="65"/>
      <c r="AJ498" s="184" t="s">
        <v>663</v>
      </c>
      <c r="AK498" s="184" t="s">
        <v>83</v>
      </c>
      <c r="AL498" s="184" t="s">
        <v>1430</v>
      </c>
      <c r="AM498" s="184" t="s">
        <v>1452</v>
      </c>
      <c r="AN498" s="184" t="s">
        <v>137</v>
      </c>
      <c r="AO498" s="184">
        <v>12</v>
      </c>
    </row>
    <row r="499" spans="33:41" x14ac:dyDescent="0.25">
      <c r="AG499" s="65"/>
      <c r="AH499" s="65"/>
      <c r="AJ499" s="184" t="s">
        <v>664</v>
      </c>
      <c r="AK499" s="184" t="s">
        <v>83</v>
      </c>
      <c r="AL499" s="184" t="s">
        <v>1430</v>
      </c>
      <c r="AM499" s="184" t="s">
        <v>1452</v>
      </c>
      <c r="AN499" s="184" t="s">
        <v>137</v>
      </c>
      <c r="AO499" s="184">
        <v>12</v>
      </c>
    </row>
    <row r="500" spans="33:41" x14ac:dyDescent="0.25">
      <c r="AG500" s="65"/>
      <c r="AH500" s="65"/>
      <c r="AJ500" s="184" t="s">
        <v>665</v>
      </c>
      <c r="AK500" s="184" t="s">
        <v>1390</v>
      </c>
      <c r="AL500" s="184" t="s">
        <v>1430</v>
      </c>
      <c r="AM500" s="184" t="s">
        <v>1457</v>
      </c>
      <c r="AN500" s="184" t="s">
        <v>137</v>
      </c>
      <c r="AO500" s="184">
        <v>12</v>
      </c>
    </row>
    <row r="501" spans="33:41" x14ac:dyDescent="0.25">
      <c r="AG501" s="65"/>
      <c r="AH501" s="65"/>
      <c r="AJ501" s="184" t="s">
        <v>666</v>
      </c>
      <c r="AK501" s="184" t="s">
        <v>98</v>
      </c>
      <c r="AL501" s="184" t="s">
        <v>1430</v>
      </c>
      <c r="AM501" s="184" t="s">
        <v>1457</v>
      </c>
      <c r="AN501" s="184" t="s">
        <v>137</v>
      </c>
      <c r="AO501" s="184">
        <v>12</v>
      </c>
    </row>
    <row r="502" spans="33:41" x14ac:dyDescent="0.25">
      <c r="AG502" s="65"/>
      <c r="AH502" s="65"/>
      <c r="AJ502" s="184" t="s">
        <v>667</v>
      </c>
      <c r="AK502" s="184" t="s">
        <v>83</v>
      </c>
      <c r="AL502" s="184" t="s">
        <v>1430</v>
      </c>
      <c r="AM502" s="184" t="s">
        <v>1457</v>
      </c>
      <c r="AN502" s="184" t="s">
        <v>137</v>
      </c>
      <c r="AO502" s="184">
        <v>12</v>
      </c>
    </row>
    <row r="503" spans="33:41" x14ac:dyDescent="0.25">
      <c r="AG503" s="65"/>
      <c r="AH503" s="65"/>
      <c r="AJ503" s="184" t="s">
        <v>668</v>
      </c>
      <c r="AK503" s="184" t="s">
        <v>83</v>
      </c>
      <c r="AL503" s="184" t="s">
        <v>1430</v>
      </c>
      <c r="AM503" s="184" t="s">
        <v>1457</v>
      </c>
      <c r="AN503" s="184" t="s">
        <v>137</v>
      </c>
      <c r="AO503" s="184">
        <v>12</v>
      </c>
    </row>
    <row r="504" spans="33:41" x14ac:dyDescent="0.25">
      <c r="AG504" s="65"/>
      <c r="AH504" s="65"/>
      <c r="AJ504" s="184" t="s">
        <v>669</v>
      </c>
      <c r="AK504" s="184" t="s">
        <v>143</v>
      </c>
      <c r="AL504" s="184" t="s">
        <v>1430</v>
      </c>
      <c r="AM504" s="184" t="s">
        <v>1457</v>
      </c>
      <c r="AN504" s="184" t="s">
        <v>137</v>
      </c>
      <c r="AO504" s="184">
        <v>6</v>
      </c>
    </row>
    <row r="505" spans="33:41" x14ac:dyDescent="0.25">
      <c r="AG505" s="65"/>
      <c r="AH505" s="65"/>
      <c r="AJ505" s="184" t="s">
        <v>670</v>
      </c>
      <c r="AK505" s="184" t="s">
        <v>96</v>
      </c>
      <c r="AL505" s="184" t="s">
        <v>1430</v>
      </c>
      <c r="AM505" s="184" t="s">
        <v>1459</v>
      </c>
      <c r="AN505" s="184" t="s">
        <v>137</v>
      </c>
      <c r="AO505" s="184">
        <v>12</v>
      </c>
    </row>
    <row r="506" spans="33:41" x14ac:dyDescent="0.25">
      <c r="AG506" s="65"/>
      <c r="AH506" s="65"/>
      <c r="AJ506" s="184" t="s">
        <v>671</v>
      </c>
      <c r="AK506" s="184" t="s">
        <v>157</v>
      </c>
      <c r="AL506" s="184" t="s">
        <v>1430</v>
      </c>
      <c r="AM506" s="184" t="s">
        <v>1447</v>
      </c>
      <c r="AN506" s="184" t="s">
        <v>137</v>
      </c>
      <c r="AO506" s="184">
        <v>12</v>
      </c>
    </row>
    <row r="507" spans="33:41" x14ac:dyDescent="0.25">
      <c r="AG507" s="65"/>
      <c r="AH507" s="65"/>
      <c r="AJ507" s="184" t="s">
        <v>672</v>
      </c>
      <c r="AK507" s="184" t="s">
        <v>1403</v>
      </c>
      <c r="AL507" s="184" t="s">
        <v>1430</v>
      </c>
      <c r="AM507" s="184" t="s">
        <v>1449</v>
      </c>
      <c r="AN507" s="184" t="s">
        <v>1537</v>
      </c>
      <c r="AO507" s="184">
        <v>12</v>
      </c>
    </row>
    <row r="508" spans="33:41" x14ac:dyDescent="0.25">
      <c r="AG508" s="65"/>
      <c r="AH508" s="65"/>
      <c r="AJ508" s="184" t="s">
        <v>673</v>
      </c>
      <c r="AK508" s="184" t="s">
        <v>1396</v>
      </c>
      <c r="AL508" s="184" t="s">
        <v>1430</v>
      </c>
      <c r="AM508" s="184" t="s">
        <v>1449</v>
      </c>
      <c r="AN508" s="184" t="s">
        <v>1537</v>
      </c>
      <c r="AO508" s="184">
        <v>12</v>
      </c>
    </row>
    <row r="509" spans="33:41" x14ac:dyDescent="0.25">
      <c r="AG509" s="65"/>
      <c r="AH509" s="65"/>
      <c r="AJ509" s="184" t="s">
        <v>674</v>
      </c>
      <c r="AK509" s="184" t="s">
        <v>1403</v>
      </c>
      <c r="AL509" s="184" t="s">
        <v>1430</v>
      </c>
      <c r="AM509" s="184" t="s">
        <v>1449</v>
      </c>
      <c r="AN509" s="184" t="s">
        <v>1537</v>
      </c>
      <c r="AO509" s="184">
        <v>12</v>
      </c>
    </row>
    <row r="510" spans="33:41" x14ac:dyDescent="0.25">
      <c r="AG510" s="65"/>
      <c r="AH510" s="65"/>
      <c r="AJ510" s="184" t="s">
        <v>675</v>
      </c>
      <c r="AK510" s="184" t="s">
        <v>1403</v>
      </c>
      <c r="AL510" s="184" t="s">
        <v>1430</v>
      </c>
      <c r="AM510" s="184" t="s">
        <v>1449</v>
      </c>
      <c r="AN510" s="184" t="s">
        <v>1537</v>
      </c>
      <c r="AO510" s="184">
        <v>12</v>
      </c>
    </row>
    <row r="511" spans="33:41" x14ac:dyDescent="0.25">
      <c r="AG511" s="65"/>
      <c r="AH511" s="65"/>
      <c r="AJ511" s="184" t="s">
        <v>676</v>
      </c>
      <c r="AK511" s="184" t="s">
        <v>1396</v>
      </c>
      <c r="AL511" s="184" t="s">
        <v>1430</v>
      </c>
      <c r="AM511" s="184" t="s">
        <v>1449</v>
      </c>
      <c r="AN511" s="184" t="s">
        <v>1537</v>
      </c>
      <c r="AO511" s="184">
        <v>12</v>
      </c>
    </row>
    <row r="512" spans="33:41" x14ac:dyDescent="0.25">
      <c r="AG512" s="65"/>
      <c r="AH512" s="65"/>
      <c r="AJ512" s="184" t="s">
        <v>677</v>
      </c>
      <c r="AK512" s="184" t="s">
        <v>1396</v>
      </c>
      <c r="AL512" s="184" t="s">
        <v>1430</v>
      </c>
      <c r="AM512" s="184" t="s">
        <v>1449</v>
      </c>
      <c r="AN512" s="184" t="s">
        <v>1537</v>
      </c>
      <c r="AO512" s="184">
        <v>12</v>
      </c>
    </row>
    <row r="513" spans="33:41" x14ac:dyDescent="0.25">
      <c r="AG513" s="65"/>
      <c r="AH513" s="65"/>
      <c r="AJ513" s="184" t="s">
        <v>678</v>
      </c>
      <c r="AK513" s="184" t="s">
        <v>1396</v>
      </c>
      <c r="AL513" s="184" t="s">
        <v>1430</v>
      </c>
      <c r="AM513" s="184" t="s">
        <v>1449</v>
      </c>
      <c r="AN513" s="184" t="s">
        <v>1537</v>
      </c>
      <c r="AO513" s="184">
        <v>12</v>
      </c>
    </row>
    <row r="514" spans="33:41" x14ac:dyDescent="0.25">
      <c r="AG514" s="65"/>
      <c r="AH514" s="65"/>
      <c r="AJ514" s="184" t="s">
        <v>679</v>
      </c>
      <c r="AK514" s="184" t="s">
        <v>1396</v>
      </c>
      <c r="AL514" s="184" t="s">
        <v>1430</v>
      </c>
      <c r="AM514" s="184" t="s">
        <v>1449</v>
      </c>
      <c r="AN514" s="184" t="s">
        <v>1537</v>
      </c>
      <c r="AO514" s="184">
        <v>12</v>
      </c>
    </row>
    <row r="515" spans="33:41" x14ac:dyDescent="0.25">
      <c r="AG515" s="65"/>
      <c r="AH515" s="65"/>
      <c r="AJ515" s="184" t="s">
        <v>680</v>
      </c>
      <c r="AK515" s="184" t="s">
        <v>1404</v>
      </c>
      <c r="AL515" s="184" t="s">
        <v>1430</v>
      </c>
      <c r="AM515" s="184" t="s">
        <v>59</v>
      </c>
      <c r="AN515" s="184" t="s">
        <v>1540</v>
      </c>
      <c r="AO515" s="184">
        <v>12</v>
      </c>
    </row>
    <row r="516" spans="33:41" x14ac:dyDescent="0.25">
      <c r="AG516" s="65"/>
      <c r="AH516" s="65"/>
      <c r="AJ516" s="184" t="s">
        <v>681</v>
      </c>
      <c r="AK516" s="184" t="s">
        <v>1403</v>
      </c>
      <c r="AL516" s="184" t="s">
        <v>1430</v>
      </c>
      <c r="AM516" s="184" t="s">
        <v>1449</v>
      </c>
      <c r="AN516" s="184" t="s">
        <v>1537</v>
      </c>
      <c r="AO516" s="184">
        <v>12</v>
      </c>
    </row>
    <row r="517" spans="33:41" x14ac:dyDescent="0.25">
      <c r="AG517" s="65"/>
      <c r="AH517" s="65"/>
      <c r="AJ517" s="184" t="s">
        <v>682</v>
      </c>
      <c r="AK517" s="184" t="s">
        <v>1396</v>
      </c>
      <c r="AL517" s="184" t="s">
        <v>1430</v>
      </c>
      <c r="AM517" s="184" t="s">
        <v>1449</v>
      </c>
      <c r="AN517" s="184" t="s">
        <v>1537</v>
      </c>
      <c r="AO517" s="184">
        <v>12</v>
      </c>
    </row>
    <row r="518" spans="33:41" x14ac:dyDescent="0.25">
      <c r="AG518" s="65"/>
      <c r="AH518" s="65"/>
      <c r="AJ518" s="184" t="s">
        <v>683</v>
      </c>
      <c r="AK518" s="184" t="s">
        <v>1396</v>
      </c>
      <c r="AL518" s="184" t="s">
        <v>1430</v>
      </c>
      <c r="AM518" s="184" t="s">
        <v>1449</v>
      </c>
      <c r="AN518" s="184" t="s">
        <v>1537</v>
      </c>
      <c r="AO518" s="184">
        <v>12</v>
      </c>
    </row>
    <row r="519" spans="33:41" x14ac:dyDescent="0.25">
      <c r="AG519" s="65"/>
      <c r="AH519" s="65"/>
      <c r="AJ519" s="184" t="s">
        <v>684</v>
      </c>
      <c r="AK519" s="184" t="s">
        <v>1405</v>
      </c>
      <c r="AL519" s="184" t="s">
        <v>1430</v>
      </c>
      <c r="AM519" s="184" t="s">
        <v>59</v>
      </c>
      <c r="AN519" s="184" t="s">
        <v>1540</v>
      </c>
      <c r="AO519" s="184">
        <v>12</v>
      </c>
    </row>
    <row r="520" spans="33:41" x14ac:dyDescent="0.25">
      <c r="AG520" s="65"/>
      <c r="AH520" s="65"/>
      <c r="AJ520" s="184" t="s">
        <v>685</v>
      </c>
      <c r="AK520" s="184" t="s">
        <v>134</v>
      </c>
      <c r="AL520" s="184" t="s">
        <v>1430</v>
      </c>
      <c r="AM520" s="184" t="s">
        <v>59</v>
      </c>
      <c r="AN520" s="184" t="s">
        <v>1540</v>
      </c>
      <c r="AO520" s="184">
        <v>12</v>
      </c>
    </row>
    <row r="521" spans="33:41" x14ac:dyDescent="0.25">
      <c r="AG521" s="65"/>
      <c r="AH521" s="65"/>
      <c r="AJ521" s="184" t="s">
        <v>686</v>
      </c>
      <c r="AK521" s="184" t="s">
        <v>156</v>
      </c>
      <c r="AL521" s="184" t="s">
        <v>1430</v>
      </c>
      <c r="AM521" s="184" t="s">
        <v>1471</v>
      </c>
      <c r="AN521" s="184" t="s">
        <v>1471</v>
      </c>
      <c r="AO521" s="184">
        <v>12</v>
      </c>
    </row>
    <row r="522" spans="33:41" x14ac:dyDescent="0.25">
      <c r="AG522" s="65"/>
      <c r="AH522" s="65"/>
      <c r="AJ522" s="184" t="s">
        <v>687</v>
      </c>
      <c r="AK522" s="184" t="s">
        <v>156</v>
      </c>
      <c r="AL522" s="184" t="s">
        <v>1430</v>
      </c>
      <c r="AM522" s="184" t="s">
        <v>1471</v>
      </c>
      <c r="AN522" s="184" t="s">
        <v>1471</v>
      </c>
      <c r="AO522" s="184">
        <v>12</v>
      </c>
    </row>
    <row r="523" spans="33:41" x14ac:dyDescent="0.25">
      <c r="AG523" s="65"/>
      <c r="AH523" s="65"/>
      <c r="AJ523" s="184" t="s">
        <v>688</v>
      </c>
      <c r="AK523" s="184" t="s">
        <v>1406</v>
      </c>
      <c r="AL523" s="184" t="s">
        <v>1430</v>
      </c>
      <c r="AM523" s="184" t="s">
        <v>1438</v>
      </c>
      <c r="AN523" s="184" t="s">
        <v>1535</v>
      </c>
      <c r="AO523" s="184">
        <v>12</v>
      </c>
    </row>
    <row r="524" spans="33:41" x14ac:dyDescent="0.25">
      <c r="AG524" s="65"/>
      <c r="AH524" s="65"/>
      <c r="AJ524" s="184" t="s">
        <v>689</v>
      </c>
      <c r="AK524" s="184" t="s">
        <v>1406</v>
      </c>
      <c r="AL524" s="184" t="s">
        <v>1430</v>
      </c>
      <c r="AM524" s="184" t="s">
        <v>1438</v>
      </c>
      <c r="AN524" s="184" t="s">
        <v>1535</v>
      </c>
      <c r="AO524" s="184">
        <v>12</v>
      </c>
    </row>
    <row r="525" spans="33:41" x14ac:dyDescent="0.25">
      <c r="AG525" s="65"/>
      <c r="AH525" s="65"/>
      <c r="AJ525" s="184" t="s">
        <v>690</v>
      </c>
      <c r="AK525" s="184" t="s">
        <v>1406</v>
      </c>
      <c r="AL525" s="184" t="s">
        <v>1430</v>
      </c>
      <c r="AM525" s="184" t="s">
        <v>1438</v>
      </c>
      <c r="AN525" s="184" t="s">
        <v>1535</v>
      </c>
      <c r="AO525" s="184">
        <v>12</v>
      </c>
    </row>
    <row r="526" spans="33:41" x14ac:dyDescent="0.25">
      <c r="AG526" s="65"/>
      <c r="AH526" s="65"/>
      <c r="AJ526" s="184" t="s">
        <v>691</v>
      </c>
      <c r="AK526" s="184" t="s">
        <v>1406</v>
      </c>
      <c r="AL526" s="184" t="s">
        <v>1430</v>
      </c>
      <c r="AM526" s="184" t="s">
        <v>1438</v>
      </c>
      <c r="AN526" s="184" t="s">
        <v>1535</v>
      </c>
      <c r="AO526" s="184">
        <v>12</v>
      </c>
    </row>
    <row r="527" spans="33:41" x14ac:dyDescent="0.25">
      <c r="AG527" s="65"/>
      <c r="AH527" s="65"/>
      <c r="AJ527" s="184" t="s">
        <v>692</v>
      </c>
      <c r="AK527" s="184" t="s">
        <v>156</v>
      </c>
      <c r="AL527" s="184" t="s">
        <v>1430</v>
      </c>
      <c r="AM527" s="184" t="s">
        <v>1471</v>
      </c>
      <c r="AN527" s="184" t="s">
        <v>1471</v>
      </c>
      <c r="AO527" s="184">
        <v>12</v>
      </c>
    </row>
    <row r="528" spans="33:41" x14ac:dyDescent="0.25">
      <c r="AG528" s="65"/>
      <c r="AH528" s="65"/>
      <c r="AJ528" s="184" t="s">
        <v>693</v>
      </c>
      <c r="AK528" s="184" t="s">
        <v>156</v>
      </c>
      <c r="AL528" s="184" t="s">
        <v>1430</v>
      </c>
      <c r="AM528" s="184" t="s">
        <v>1471</v>
      </c>
      <c r="AN528" s="184" t="s">
        <v>1471</v>
      </c>
      <c r="AO528" s="184">
        <v>12</v>
      </c>
    </row>
    <row r="529" spans="33:41" x14ac:dyDescent="0.25">
      <c r="AG529" s="65"/>
      <c r="AH529" s="65"/>
      <c r="AJ529" s="184" t="s">
        <v>694</v>
      </c>
      <c r="AK529" s="184" t="s">
        <v>158</v>
      </c>
      <c r="AL529" s="184" t="s">
        <v>1430</v>
      </c>
      <c r="AM529" s="184" t="s">
        <v>1485</v>
      </c>
      <c r="AN529" s="184" t="s">
        <v>1538</v>
      </c>
      <c r="AO529" s="184">
        <v>12</v>
      </c>
    </row>
    <row r="530" spans="33:41" x14ac:dyDescent="0.25">
      <c r="AG530" s="65"/>
      <c r="AH530" s="65"/>
      <c r="AJ530" s="184" t="s">
        <v>695</v>
      </c>
      <c r="AK530" s="184" t="s">
        <v>156</v>
      </c>
      <c r="AL530" s="184" t="s">
        <v>1430</v>
      </c>
      <c r="AM530" s="184" t="s">
        <v>1471</v>
      </c>
      <c r="AN530" s="184" t="s">
        <v>1471</v>
      </c>
      <c r="AO530" s="184">
        <v>12</v>
      </c>
    </row>
    <row r="531" spans="33:41" x14ac:dyDescent="0.25">
      <c r="AG531" s="65"/>
      <c r="AH531" s="65"/>
      <c r="AJ531" s="184" t="s">
        <v>696</v>
      </c>
      <c r="AK531" s="184" t="s">
        <v>156</v>
      </c>
      <c r="AL531" s="184" t="s">
        <v>1430</v>
      </c>
      <c r="AM531" s="184" t="s">
        <v>1471</v>
      </c>
      <c r="AN531" s="184" t="s">
        <v>1471</v>
      </c>
      <c r="AO531" s="184">
        <v>12</v>
      </c>
    </row>
    <row r="532" spans="33:41" x14ac:dyDescent="0.25">
      <c r="AG532" s="65"/>
      <c r="AH532" s="65"/>
      <c r="AJ532" s="184" t="s">
        <v>697</v>
      </c>
      <c r="AK532" s="184" t="s">
        <v>156</v>
      </c>
      <c r="AL532" s="184" t="s">
        <v>1430</v>
      </c>
      <c r="AM532" s="184" t="s">
        <v>1471</v>
      </c>
      <c r="AN532" s="184" t="s">
        <v>1471</v>
      </c>
      <c r="AO532" s="184">
        <v>12</v>
      </c>
    </row>
    <row r="533" spans="33:41" x14ac:dyDescent="0.25">
      <c r="AG533" s="65"/>
      <c r="AH533" s="65"/>
      <c r="AJ533" s="184" t="s">
        <v>698</v>
      </c>
      <c r="AK533" s="184" t="s">
        <v>156</v>
      </c>
      <c r="AL533" s="184" t="s">
        <v>1430</v>
      </c>
      <c r="AM533" s="184" t="s">
        <v>1471</v>
      </c>
      <c r="AN533" s="184" t="s">
        <v>1471</v>
      </c>
      <c r="AO533" s="184">
        <v>12</v>
      </c>
    </row>
    <row r="534" spans="33:41" x14ac:dyDescent="0.25">
      <c r="AG534" s="65"/>
      <c r="AH534" s="65"/>
      <c r="AJ534" s="184" t="s">
        <v>699</v>
      </c>
      <c r="AK534" s="184" t="s">
        <v>156</v>
      </c>
      <c r="AL534" s="184" t="s">
        <v>1430</v>
      </c>
      <c r="AM534" s="184" t="s">
        <v>1471</v>
      </c>
      <c r="AN534" s="184" t="s">
        <v>1471</v>
      </c>
      <c r="AO534" s="184">
        <v>12</v>
      </c>
    </row>
    <row r="535" spans="33:41" x14ac:dyDescent="0.25">
      <c r="AG535" s="65"/>
      <c r="AH535" s="65"/>
      <c r="AJ535" s="184" t="s">
        <v>700</v>
      </c>
      <c r="AK535" s="184" t="s">
        <v>156</v>
      </c>
      <c r="AL535" s="184" t="s">
        <v>1430</v>
      </c>
      <c r="AM535" s="184" t="s">
        <v>1735</v>
      </c>
      <c r="AN535" s="184" t="s">
        <v>99</v>
      </c>
      <c r="AO535" s="184">
        <v>12</v>
      </c>
    </row>
    <row r="536" spans="33:41" x14ac:dyDescent="0.25">
      <c r="AG536" s="65"/>
      <c r="AH536" s="65"/>
      <c r="AJ536" s="184" t="s">
        <v>701</v>
      </c>
      <c r="AK536" s="184" t="s">
        <v>156</v>
      </c>
      <c r="AL536" s="184" t="s">
        <v>1430</v>
      </c>
      <c r="AM536" s="184" t="s">
        <v>1471</v>
      </c>
      <c r="AN536" s="184" t="s">
        <v>1471</v>
      </c>
      <c r="AO536" s="184">
        <v>12</v>
      </c>
    </row>
    <row r="537" spans="33:41" x14ac:dyDescent="0.25">
      <c r="AG537" s="65"/>
      <c r="AH537" s="65"/>
      <c r="AJ537" s="184" t="s">
        <v>702</v>
      </c>
      <c r="AK537" s="184" t="s">
        <v>156</v>
      </c>
      <c r="AL537" s="184" t="s">
        <v>1430</v>
      </c>
      <c r="AM537" s="184" t="s">
        <v>1471</v>
      </c>
      <c r="AN537" s="184" t="s">
        <v>1471</v>
      </c>
      <c r="AO537" s="184">
        <v>12</v>
      </c>
    </row>
    <row r="538" spans="33:41" x14ac:dyDescent="0.25">
      <c r="AG538" s="65"/>
      <c r="AH538" s="65"/>
      <c r="AJ538" s="184" t="s">
        <v>703</v>
      </c>
      <c r="AK538" s="184" t="s">
        <v>156</v>
      </c>
      <c r="AL538" s="184" t="s">
        <v>1430</v>
      </c>
      <c r="AM538" s="184" t="s">
        <v>1471</v>
      </c>
      <c r="AN538" s="184" t="s">
        <v>1471</v>
      </c>
      <c r="AO538" s="184">
        <v>12</v>
      </c>
    </row>
    <row r="539" spans="33:41" x14ac:dyDescent="0.25">
      <c r="AG539" s="65"/>
      <c r="AH539" s="65"/>
      <c r="AJ539" s="184" t="s">
        <v>704</v>
      </c>
      <c r="AK539" s="184" t="s">
        <v>156</v>
      </c>
      <c r="AL539" s="184" t="s">
        <v>1430</v>
      </c>
      <c r="AM539" s="184" t="s">
        <v>1471</v>
      </c>
      <c r="AN539" s="184" t="s">
        <v>1471</v>
      </c>
      <c r="AO539" s="184">
        <v>12</v>
      </c>
    </row>
    <row r="540" spans="33:41" x14ac:dyDescent="0.25">
      <c r="AG540" s="65"/>
      <c r="AH540" s="65"/>
      <c r="AJ540" s="184" t="s">
        <v>705</v>
      </c>
      <c r="AK540" s="184" t="s">
        <v>156</v>
      </c>
      <c r="AL540" s="184" t="s">
        <v>1430</v>
      </c>
      <c r="AM540" s="184" t="s">
        <v>1471</v>
      </c>
      <c r="AN540" s="184" t="s">
        <v>1471</v>
      </c>
      <c r="AO540" s="184">
        <v>12</v>
      </c>
    </row>
    <row r="541" spans="33:41" x14ac:dyDescent="0.25">
      <c r="AG541" s="65"/>
      <c r="AH541" s="65"/>
      <c r="AJ541" s="184" t="s">
        <v>706</v>
      </c>
      <c r="AK541" s="184" t="s">
        <v>132</v>
      </c>
      <c r="AL541" s="184" t="s">
        <v>1430</v>
      </c>
      <c r="AM541" s="184" t="s">
        <v>1437</v>
      </c>
      <c r="AN541" s="184" t="s">
        <v>1535</v>
      </c>
      <c r="AO541" s="184">
        <v>12</v>
      </c>
    </row>
    <row r="542" spans="33:41" x14ac:dyDescent="0.25">
      <c r="AG542" s="65"/>
      <c r="AH542" s="65"/>
      <c r="AJ542" s="184" t="s">
        <v>707</v>
      </c>
      <c r="AK542" s="184" t="s">
        <v>132</v>
      </c>
      <c r="AL542" s="184" t="s">
        <v>1430</v>
      </c>
      <c r="AM542" s="184" t="s">
        <v>1437</v>
      </c>
      <c r="AN542" s="184" t="s">
        <v>1535</v>
      </c>
      <c r="AO542" s="184">
        <v>12</v>
      </c>
    </row>
    <row r="543" spans="33:41" x14ac:dyDescent="0.25">
      <c r="AG543" s="65"/>
      <c r="AH543" s="65"/>
      <c r="AJ543" s="184" t="s">
        <v>708</v>
      </c>
      <c r="AK543" s="184" t="s">
        <v>1407</v>
      </c>
      <c r="AL543" s="184" t="s">
        <v>1430</v>
      </c>
      <c r="AM543" s="184" t="s">
        <v>1449</v>
      </c>
      <c r="AN543" s="184" t="s">
        <v>1537</v>
      </c>
      <c r="AO543" s="184">
        <v>12</v>
      </c>
    </row>
    <row r="544" spans="33:41" x14ac:dyDescent="0.25">
      <c r="AG544" s="65"/>
      <c r="AH544" s="65"/>
      <c r="AJ544" s="184" t="s">
        <v>709</v>
      </c>
      <c r="AK544" s="184" t="s">
        <v>1407</v>
      </c>
      <c r="AL544" s="184" t="s">
        <v>1430</v>
      </c>
      <c r="AM544" s="184" t="s">
        <v>1449</v>
      </c>
      <c r="AN544" s="184" t="s">
        <v>1537</v>
      </c>
      <c r="AO544" s="184">
        <v>12</v>
      </c>
    </row>
    <row r="545" spans="33:41" x14ac:dyDescent="0.25">
      <c r="AG545" s="65"/>
      <c r="AH545" s="65"/>
      <c r="AJ545" s="184" t="s">
        <v>710</v>
      </c>
      <c r="AK545" s="184" t="s">
        <v>1396</v>
      </c>
      <c r="AL545" s="184" t="s">
        <v>1430</v>
      </c>
      <c r="AM545" s="184" t="s">
        <v>1449</v>
      </c>
      <c r="AN545" s="184" t="s">
        <v>1537</v>
      </c>
      <c r="AO545" s="184">
        <v>12</v>
      </c>
    </row>
    <row r="546" spans="33:41" x14ac:dyDescent="0.25">
      <c r="AG546" s="65"/>
      <c r="AH546" s="65"/>
      <c r="AJ546" s="184" t="s">
        <v>711</v>
      </c>
      <c r="AK546" s="184" t="s">
        <v>1396</v>
      </c>
      <c r="AL546" s="184" t="s">
        <v>1430</v>
      </c>
      <c r="AM546" s="184" t="s">
        <v>1449</v>
      </c>
      <c r="AN546" s="184" t="s">
        <v>1537</v>
      </c>
      <c r="AO546" s="184">
        <v>12</v>
      </c>
    </row>
    <row r="547" spans="33:41" x14ac:dyDescent="0.25">
      <c r="AG547" s="65"/>
      <c r="AH547" s="65"/>
      <c r="AJ547" s="184" t="s">
        <v>712</v>
      </c>
      <c r="AK547" s="184" t="s">
        <v>1396</v>
      </c>
      <c r="AL547" s="184" t="s">
        <v>1430</v>
      </c>
      <c r="AM547" s="184" t="s">
        <v>1449</v>
      </c>
      <c r="AN547" s="184" t="s">
        <v>1537</v>
      </c>
      <c r="AO547" s="184">
        <v>12</v>
      </c>
    </row>
    <row r="548" spans="33:41" x14ac:dyDescent="0.25">
      <c r="AG548" s="65"/>
      <c r="AH548" s="65"/>
      <c r="AJ548" s="184" t="s">
        <v>713</v>
      </c>
      <c r="AK548" s="184" t="s">
        <v>132</v>
      </c>
      <c r="AL548" s="184" t="s">
        <v>1430</v>
      </c>
      <c r="AM548" s="184" t="s">
        <v>1437</v>
      </c>
      <c r="AN548" s="184" t="s">
        <v>1535</v>
      </c>
      <c r="AO548" s="184">
        <v>12</v>
      </c>
    </row>
    <row r="549" spans="33:41" x14ac:dyDescent="0.25">
      <c r="AG549" s="65"/>
      <c r="AH549" s="65"/>
      <c r="AJ549" s="184" t="s">
        <v>714</v>
      </c>
      <c r="AK549" s="184" t="s">
        <v>132</v>
      </c>
      <c r="AL549" s="184" t="s">
        <v>1430</v>
      </c>
      <c r="AM549" s="184" t="s">
        <v>1504</v>
      </c>
      <c r="AN549" s="184" t="s">
        <v>1535</v>
      </c>
      <c r="AO549" s="184">
        <v>12</v>
      </c>
    </row>
    <row r="550" spans="33:41" x14ac:dyDescent="0.25">
      <c r="AG550" s="65"/>
      <c r="AH550" s="65"/>
      <c r="AJ550" s="184" t="s">
        <v>715</v>
      </c>
      <c r="AK550" s="184" t="s">
        <v>132</v>
      </c>
      <c r="AL550" s="184" t="s">
        <v>1430</v>
      </c>
      <c r="AM550" s="184" t="s">
        <v>1437</v>
      </c>
      <c r="AN550" s="184" t="s">
        <v>1535</v>
      </c>
      <c r="AO550" s="184">
        <v>12</v>
      </c>
    </row>
    <row r="551" spans="33:41" x14ac:dyDescent="0.25">
      <c r="AG551" s="65"/>
      <c r="AH551" s="65"/>
      <c r="AJ551" s="184" t="s">
        <v>716</v>
      </c>
      <c r="AK551" s="184" t="s">
        <v>144</v>
      </c>
      <c r="AL551" s="184" t="s">
        <v>1430</v>
      </c>
      <c r="AM551" s="184" t="s">
        <v>1504</v>
      </c>
      <c r="AN551" s="184" t="s">
        <v>1535</v>
      </c>
      <c r="AO551" s="184">
        <v>12</v>
      </c>
    </row>
    <row r="552" spans="33:41" x14ac:dyDescent="0.25">
      <c r="AG552" s="65"/>
      <c r="AH552" s="65"/>
      <c r="AJ552" s="184" t="s">
        <v>717</v>
      </c>
      <c r="AK552" s="184" t="s">
        <v>144</v>
      </c>
      <c r="AL552" s="184" t="s">
        <v>1430</v>
      </c>
      <c r="AM552" s="184" t="s">
        <v>1435</v>
      </c>
      <c r="AN552" s="184" t="s">
        <v>1535</v>
      </c>
      <c r="AO552" s="184">
        <v>12</v>
      </c>
    </row>
    <row r="553" spans="33:41" x14ac:dyDescent="0.25">
      <c r="AG553" s="65"/>
      <c r="AH553" s="65"/>
      <c r="AJ553" s="184" t="s">
        <v>718</v>
      </c>
      <c r="AK553" s="184" t="s">
        <v>132</v>
      </c>
      <c r="AL553" s="184" t="s">
        <v>1430</v>
      </c>
      <c r="AM553" s="184" t="s">
        <v>1437</v>
      </c>
      <c r="AN553" s="184" t="s">
        <v>1535</v>
      </c>
      <c r="AO553" s="184">
        <v>12</v>
      </c>
    </row>
    <row r="554" spans="33:41" x14ac:dyDescent="0.25">
      <c r="AG554" s="65"/>
      <c r="AH554" s="65"/>
      <c r="AJ554" s="184" t="s">
        <v>719</v>
      </c>
      <c r="AK554" s="184" t="s">
        <v>132</v>
      </c>
      <c r="AL554" s="184" t="s">
        <v>1430</v>
      </c>
      <c r="AM554" s="184" t="s">
        <v>1437</v>
      </c>
      <c r="AN554" s="184" t="s">
        <v>1535</v>
      </c>
      <c r="AO554" s="184">
        <v>12</v>
      </c>
    </row>
    <row r="555" spans="33:41" x14ac:dyDescent="0.25">
      <c r="AG555" s="65"/>
      <c r="AH555" s="65"/>
      <c r="AJ555" s="184" t="s">
        <v>720</v>
      </c>
      <c r="AK555" s="184" t="s">
        <v>132</v>
      </c>
      <c r="AL555" s="184" t="s">
        <v>1430</v>
      </c>
      <c r="AM555" s="184" t="s">
        <v>1437</v>
      </c>
      <c r="AN555" s="184" t="s">
        <v>1535</v>
      </c>
      <c r="AO555" s="184">
        <v>12</v>
      </c>
    </row>
    <row r="556" spans="33:41" x14ac:dyDescent="0.25">
      <c r="AG556" s="65"/>
      <c r="AH556" s="65"/>
      <c r="AJ556" s="184" t="s">
        <v>721</v>
      </c>
      <c r="AK556" s="184" t="s">
        <v>132</v>
      </c>
      <c r="AL556" s="184" t="s">
        <v>1430</v>
      </c>
      <c r="AM556" s="184" t="s">
        <v>1437</v>
      </c>
      <c r="AN556" s="184" t="s">
        <v>1535</v>
      </c>
      <c r="AO556" s="184">
        <v>12</v>
      </c>
    </row>
    <row r="557" spans="33:41" x14ac:dyDescent="0.25">
      <c r="AG557" s="65"/>
      <c r="AH557" s="65"/>
      <c r="AJ557" s="184" t="s">
        <v>722</v>
      </c>
      <c r="AK557" s="184" t="s">
        <v>145</v>
      </c>
      <c r="AL557" s="184" t="s">
        <v>1430</v>
      </c>
      <c r="AM557" s="184" t="s">
        <v>1435</v>
      </c>
      <c r="AN557" s="184" t="s">
        <v>1535</v>
      </c>
      <c r="AO557" s="184">
        <v>12</v>
      </c>
    </row>
    <row r="558" spans="33:41" x14ac:dyDescent="0.25">
      <c r="AG558" s="65"/>
      <c r="AH558" s="65"/>
      <c r="AJ558" s="184" t="s">
        <v>723</v>
      </c>
      <c r="AK558" s="184" t="s">
        <v>145</v>
      </c>
      <c r="AL558" s="184" t="s">
        <v>1430</v>
      </c>
      <c r="AM558" s="184" t="s">
        <v>1435</v>
      </c>
      <c r="AN558" s="184" t="s">
        <v>1535</v>
      </c>
      <c r="AO558" s="184">
        <v>12</v>
      </c>
    </row>
    <row r="559" spans="33:41" x14ac:dyDescent="0.25">
      <c r="AG559" s="65"/>
      <c r="AH559" s="65"/>
      <c r="AJ559" s="184" t="s">
        <v>724</v>
      </c>
      <c r="AK559" s="184" t="s">
        <v>145</v>
      </c>
      <c r="AL559" s="184" t="s">
        <v>1430</v>
      </c>
      <c r="AM559" s="184" t="s">
        <v>1435</v>
      </c>
      <c r="AN559" s="184" t="s">
        <v>1535</v>
      </c>
      <c r="AO559" s="184">
        <v>12</v>
      </c>
    </row>
    <row r="560" spans="33:41" x14ac:dyDescent="0.25">
      <c r="AG560" s="65"/>
      <c r="AH560" s="65"/>
      <c r="AJ560" s="184" t="s">
        <v>725</v>
      </c>
      <c r="AK560" s="184" t="s">
        <v>132</v>
      </c>
      <c r="AL560" s="184" t="s">
        <v>1430</v>
      </c>
      <c r="AM560" s="184" t="s">
        <v>1437</v>
      </c>
      <c r="AN560" s="184" t="s">
        <v>1535</v>
      </c>
      <c r="AO560" s="184">
        <v>12</v>
      </c>
    </row>
    <row r="561" spans="33:41" x14ac:dyDescent="0.25">
      <c r="AG561" s="65"/>
      <c r="AH561" s="65"/>
      <c r="AJ561" s="184" t="s">
        <v>726</v>
      </c>
      <c r="AK561" s="184" t="s">
        <v>132</v>
      </c>
      <c r="AL561" s="184" t="s">
        <v>1430</v>
      </c>
      <c r="AM561" s="184" t="s">
        <v>1437</v>
      </c>
      <c r="AN561" s="184" t="s">
        <v>1535</v>
      </c>
      <c r="AO561" s="184">
        <v>12</v>
      </c>
    </row>
    <row r="562" spans="33:41" x14ac:dyDescent="0.25">
      <c r="AG562" s="65"/>
      <c r="AH562" s="65"/>
      <c r="AJ562" s="184" t="s">
        <v>727</v>
      </c>
      <c r="AK562" s="184" t="s">
        <v>132</v>
      </c>
      <c r="AL562" s="184" t="s">
        <v>1430</v>
      </c>
      <c r="AM562" s="184" t="s">
        <v>1435</v>
      </c>
      <c r="AN562" s="184" t="s">
        <v>1535</v>
      </c>
      <c r="AO562" s="184">
        <v>12</v>
      </c>
    </row>
    <row r="563" spans="33:41" x14ac:dyDescent="0.25">
      <c r="AG563" s="65"/>
      <c r="AH563" s="65"/>
      <c r="AJ563" s="184" t="s">
        <v>728</v>
      </c>
      <c r="AK563" s="184" t="s">
        <v>132</v>
      </c>
      <c r="AL563" s="184" t="s">
        <v>1430</v>
      </c>
      <c r="AM563" s="184" t="s">
        <v>1435</v>
      </c>
      <c r="AN563" s="184" t="s">
        <v>1535</v>
      </c>
      <c r="AO563" s="184">
        <v>12</v>
      </c>
    </row>
    <row r="564" spans="33:41" x14ac:dyDescent="0.25">
      <c r="AG564" s="65"/>
      <c r="AH564" s="65"/>
      <c r="AJ564" s="184" t="s">
        <v>729</v>
      </c>
      <c r="AK564" s="184" t="s">
        <v>1408</v>
      </c>
      <c r="AL564" s="184" t="s">
        <v>1430</v>
      </c>
      <c r="AM564" s="184" t="s">
        <v>59</v>
      </c>
      <c r="AN564" s="184" t="s">
        <v>1537</v>
      </c>
      <c r="AO564" s="184">
        <v>12</v>
      </c>
    </row>
    <row r="565" spans="33:41" x14ac:dyDescent="0.25">
      <c r="AG565" s="65"/>
      <c r="AH565" s="65"/>
      <c r="AJ565" s="184" t="s">
        <v>730</v>
      </c>
      <c r="AK565" s="184" t="s">
        <v>132</v>
      </c>
      <c r="AL565" s="184" t="s">
        <v>1430</v>
      </c>
      <c r="AM565" s="184" t="s">
        <v>1485</v>
      </c>
      <c r="AN565" s="184" t="s">
        <v>1538</v>
      </c>
      <c r="AO565" s="184">
        <v>12</v>
      </c>
    </row>
    <row r="566" spans="33:41" x14ac:dyDescent="0.25">
      <c r="AG566" s="65"/>
      <c r="AH566" s="65"/>
      <c r="AJ566" s="184" t="s">
        <v>731</v>
      </c>
      <c r="AK566" s="184" t="s">
        <v>132</v>
      </c>
      <c r="AL566" s="184" t="s">
        <v>1430</v>
      </c>
      <c r="AM566" s="184" t="s">
        <v>1505</v>
      </c>
      <c r="AN566" s="184" t="s">
        <v>1538</v>
      </c>
      <c r="AO566" s="184">
        <v>12</v>
      </c>
    </row>
    <row r="567" spans="33:41" x14ac:dyDescent="0.25">
      <c r="AG567" s="65"/>
      <c r="AH567" s="65"/>
      <c r="AJ567" s="184" t="s">
        <v>732</v>
      </c>
      <c r="AK567" s="184" t="s">
        <v>101</v>
      </c>
      <c r="AL567" s="184" t="s">
        <v>1430</v>
      </c>
      <c r="AM567" s="184" t="s">
        <v>1475</v>
      </c>
      <c r="AN567" s="184" t="s">
        <v>1538</v>
      </c>
      <c r="AO567" s="184">
        <v>12</v>
      </c>
    </row>
    <row r="568" spans="33:41" x14ac:dyDescent="0.25">
      <c r="AG568" s="65"/>
      <c r="AH568" s="65"/>
      <c r="AJ568" s="184" t="s">
        <v>733</v>
      </c>
      <c r="AK568" s="184" t="s">
        <v>100</v>
      </c>
      <c r="AL568" s="184" t="s">
        <v>1430</v>
      </c>
      <c r="AM568" s="184" t="s">
        <v>1471</v>
      </c>
      <c r="AN568" s="184" t="s">
        <v>1471</v>
      </c>
      <c r="AO568" s="184">
        <v>12</v>
      </c>
    </row>
    <row r="569" spans="33:41" x14ac:dyDescent="0.25">
      <c r="AG569" s="65"/>
      <c r="AH569" s="65"/>
      <c r="AJ569" s="184" t="s">
        <v>734</v>
      </c>
      <c r="AK569" s="184" t="s">
        <v>100</v>
      </c>
      <c r="AL569" s="184" t="s">
        <v>1430</v>
      </c>
      <c r="AM569" s="184" t="s">
        <v>1471</v>
      </c>
      <c r="AN569" s="184" t="s">
        <v>1471</v>
      </c>
      <c r="AO569" s="184">
        <v>12</v>
      </c>
    </row>
    <row r="570" spans="33:41" x14ac:dyDescent="0.25">
      <c r="AG570" s="65"/>
      <c r="AH570" s="65"/>
      <c r="AJ570" s="184" t="s">
        <v>735</v>
      </c>
      <c r="AK570" s="184" t="s">
        <v>100</v>
      </c>
      <c r="AL570" s="184" t="s">
        <v>1430</v>
      </c>
      <c r="AM570" s="184" t="s">
        <v>1471</v>
      </c>
      <c r="AN570" s="184" t="s">
        <v>1471</v>
      </c>
      <c r="AO570" s="184">
        <v>12</v>
      </c>
    </row>
    <row r="571" spans="33:41" x14ac:dyDescent="0.25">
      <c r="AG571" s="65"/>
      <c r="AH571" s="65"/>
      <c r="AJ571" s="184" t="s">
        <v>736</v>
      </c>
      <c r="AK571" s="184" t="s">
        <v>100</v>
      </c>
      <c r="AL571" s="184" t="s">
        <v>1430</v>
      </c>
      <c r="AM571" s="184" t="s">
        <v>1471</v>
      </c>
      <c r="AN571" s="184" t="s">
        <v>1471</v>
      </c>
      <c r="AO571" s="184">
        <v>12</v>
      </c>
    </row>
    <row r="572" spans="33:41" x14ac:dyDescent="0.25">
      <c r="AG572" s="65"/>
      <c r="AH572" s="65"/>
      <c r="AJ572" s="184" t="s">
        <v>737</v>
      </c>
      <c r="AK572" s="184" t="s">
        <v>100</v>
      </c>
      <c r="AL572" s="184" t="s">
        <v>1430</v>
      </c>
      <c r="AM572" s="184" t="s">
        <v>1471</v>
      </c>
      <c r="AN572" s="184" t="s">
        <v>1471</v>
      </c>
      <c r="AO572" s="184">
        <v>12</v>
      </c>
    </row>
    <row r="573" spans="33:41" x14ac:dyDescent="0.25">
      <c r="AG573" s="65"/>
      <c r="AH573" s="65"/>
      <c r="AJ573" s="184" t="s">
        <v>738</v>
      </c>
      <c r="AK573" s="184" t="s">
        <v>100</v>
      </c>
      <c r="AL573" s="184" t="s">
        <v>1430</v>
      </c>
      <c r="AM573" s="184" t="s">
        <v>1471</v>
      </c>
      <c r="AN573" s="184" t="s">
        <v>1471</v>
      </c>
      <c r="AO573" s="184">
        <v>12</v>
      </c>
    </row>
    <row r="574" spans="33:41" x14ac:dyDescent="0.25">
      <c r="AG574" s="65"/>
      <c r="AH574" s="65"/>
      <c r="AJ574" s="184" t="s">
        <v>739</v>
      </c>
      <c r="AK574" s="184" t="s">
        <v>100</v>
      </c>
      <c r="AL574" s="184" t="s">
        <v>1430</v>
      </c>
      <c r="AM574" s="184" t="s">
        <v>1471</v>
      </c>
      <c r="AN574" s="184" t="s">
        <v>1471</v>
      </c>
      <c r="AO574" s="184">
        <v>12</v>
      </c>
    </row>
    <row r="575" spans="33:41" x14ac:dyDescent="0.25">
      <c r="AG575" s="65"/>
      <c r="AH575" s="65"/>
      <c r="AJ575" s="184" t="s">
        <v>740</v>
      </c>
      <c r="AK575" s="184" t="s">
        <v>100</v>
      </c>
      <c r="AL575" s="184" t="s">
        <v>1430</v>
      </c>
      <c r="AM575" s="184" t="s">
        <v>1471</v>
      </c>
      <c r="AN575" s="184" t="s">
        <v>1471</v>
      </c>
      <c r="AO575" s="184">
        <v>12</v>
      </c>
    </row>
    <row r="576" spans="33:41" x14ac:dyDescent="0.25">
      <c r="AG576" s="65"/>
      <c r="AH576" s="65"/>
      <c r="AJ576" s="184" t="s">
        <v>741</v>
      </c>
      <c r="AK576" s="184" t="s">
        <v>100</v>
      </c>
      <c r="AL576" s="184" t="s">
        <v>1430</v>
      </c>
      <c r="AM576" s="184" t="s">
        <v>1471</v>
      </c>
      <c r="AN576" s="184" t="s">
        <v>1471</v>
      </c>
      <c r="AO576" s="184">
        <v>12</v>
      </c>
    </row>
    <row r="577" spans="33:41" x14ac:dyDescent="0.25">
      <c r="AG577" s="65"/>
      <c r="AH577" s="65"/>
      <c r="AJ577" s="184" t="s">
        <v>742</v>
      </c>
      <c r="AK577" s="184" t="s">
        <v>100</v>
      </c>
      <c r="AL577" s="184" t="s">
        <v>1430</v>
      </c>
      <c r="AM577" s="184" t="s">
        <v>1471</v>
      </c>
      <c r="AN577" s="184" t="s">
        <v>1471</v>
      </c>
      <c r="AO577" s="184">
        <v>12</v>
      </c>
    </row>
    <row r="578" spans="33:41" x14ac:dyDescent="0.25">
      <c r="AG578" s="65"/>
      <c r="AH578" s="65"/>
      <c r="AJ578" s="184" t="s">
        <v>743</v>
      </c>
      <c r="AK578" s="184" t="s">
        <v>100</v>
      </c>
      <c r="AL578" s="184" t="s">
        <v>1430</v>
      </c>
      <c r="AM578" s="184" t="s">
        <v>1471</v>
      </c>
      <c r="AN578" s="184" t="s">
        <v>1471</v>
      </c>
      <c r="AO578" s="184">
        <v>12</v>
      </c>
    </row>
    <row r="579" spans="33:41" x14ac:dyDescent="0.25">
      <c r="AG579" s="65"/>
      <c r="AH579" s="65"/>
      <c r="AJ579" s="184" t="s">
        <v>744</v>
      </c>
      <c r="AK579" s="184" t="s">
        <v>100</v>
      </c>
      <c r="AL579" s="184" t="s">
        <v>1430</v>
      </c>
      <c r="AM579" s="184" t="s">
        <v>1471</v>
      </c>
      <c r="AN579" s="184" t="s">
        <v>1471</v>
      </c>
      <c r="AO579" s="184">
        <v>12</v>
      </c>
    </row>
    <row r="580" spans="33:41" x14ac:dyDescent="0.25">
      <c r="AG580" s="65"/>
      <c r="AH580" s="65"/>
      <c r="AJ580" s="184" t="s">
        <v>745</v>
      </c>
      <c r="AK580" s="184" t="s">
        <v>100</v>
      </c>
      <c r="AL580" s="184" t="s">
        <v>1430</v>
      </c>
      <c r="AM580" s="184" t="s">
        <v>1471</v>
      </c>
      <c r="AN580" s="184" t="s">
        <v>1471</v>
      </c>
      <c r="AO580" s="184">
        <v>12</v>
      </c>
    </row>
    <row r="581" spans="33:41" x14ac:dyDescent="0.25">
      <c r="AG581" s="65"/>
      <c r="AH581" s="65"/>
      <c r="AJ581" s="184" t="s">
        <v>746</v>
      </c>
      <c r="AK581" s="184" t="s">
        <v>100</v>
      </c>
      <c r="AL581" s="184" t="s">
        <v>1430</v>
      </c>
      <c r="AM581" s="184" t="s">
        <v>1471</v>
      </c>
      <c r="AN581" s="184" t="s">
        <v>1471</v>
      </c>
      <c r="AO581" s="184">
        <v>12</v>
      </c>
    </row>
    <row r="582" spans="33:41" x14ac:dyDescent="0.25">
      <c r="AG582" s="65"/>
      <c r="AH582" s="65"/>
      <c r="AJ582" s="184" t="s">
        <v>747</v>
      </c>
      <c r="AK582" s="184" t="s">
        <v>100</v>
      </c>
      <c r="AL582" s="184" t="s">
        <v>1430</v>
      </c>
      <c r="AM582" s="184" t="s">
        <v>1471</v>
      </c>
      <c r="AN582" s="184" t="s">
        <v>1471</v>
      </c>
      <c r="AO582" s="184">
        <v>12</v>
      </c>
    </row>
    <row r="583" spans="33:41" x14ac:dyDescent="0.25">
      <c r="AG583" s="65"/>
      <c r="AH583" s="65"/>
      <c r="AJ583" s="184" t="s">
        <v>748</v>
      </c>
      <c r="AK583" s="184" t="s">
        <v>100</v>
      </c>
      <c r="AL583" s="184" t="s">
        <v>1430</v>
      </c>
      <c r="AM583" s="184" t="s">
        <v>1471</v>
      </c>
      <c r="AN583" s="184" t="s">
        <v>1471</v>
      </c>
      <c r="AO583" s="184">
        <v>12</v>
      </c>
    </row>
    <row r="584" spans="33:41" x14ac:dyDescent="0.25">
      <c r="AG584" s="65"/>
      <c r="AH584" s="65"/>
      <c r="AJ584" s="184" t="s">
        <v>749</v>
      </c>
      <c r="AK584" s="184" t="s">
        <v>100</v>
      </c>
      <c r="AL584" s="184" t="s">
        <v>1430</v>
      </c>
      <c r="AM584" s="184" t="s">
        <v>1471</v>
      </c>
      <c r="AN584" s="184" t="s">
        <v>1471</v>
      </c>
      <c r="AO584" s="184">
        <v>12</v>
      </c>
    </row>
    <row r="585" spans="33:41" x14ac:dyDescent="0.25">
      <c r="AG585" s="65"/>
      <c r="AH585" s="65"/>
      <c r="AJ585" s="184" t="s">
        <v>750</v>
      </c>
      <c r="AK585" s="184" t="s">
        <v>100</v>
      </c>
      <c r="AL585" s="184" t="s">
        <v>1430</v>
      </c>
      <c r="AM585" s="184" t="s">
        <v>1471</v>
      </c>
      <c r="AN585" s="184" t="s">
        <v>1471</v>
      </c>
      <c r="AO585" s="184">
        <v>12</v>
      </c>
    </row>
    <row r="586" spans="33:41" x14ac:dyDescent="0.25">
      <c r="AG586" s="65"/>
      <c r="AH586" s="65"/>
      <c r="AJ586" s="184" t="s">
        <v>751</v>
      </c>
      <c r="AK586" s="184" t="s">
        <v>100</v>
      </c>
      <c r="AL586" s="184" t="s">
        <v>1430</v>
      </c>
      <c r="AM586" s="184" t="s">
        <v>1471</v>
      </c>
      <c r="AN586" s="184" t="s">
        <v>1471</v>
      </c>
      <c r="AO586" s="184">
        <v>12</v>
      </c>
    </row>
    <row r="587" spans="33:41" x14ac:dyDescent="0.25">
      <c r="AG587" s="65"/>
      <c r="AH587" s="65"/>
      <c r="AJ587" s="184" t="s">
        <v>752</v>
      </c>
      <c r="AK587" s="184" t="s">
        <v>100</v>
      </c>
      <c r="AL587" s="184" t="s">
        <v>1430</v>
      </c>
      <c r="AM587" s="184" t="s">
        <v>1471</v>
      </c>
      <c r="AN587" s="184" t="s">
        <v>1471</v>
      </c>
      <c r="AO587" s="184">
        <v>12</v>
      </c>
    </row>
    <row r="588" spans="33:41" x14ac:dyDescent="0.25">
      <c r="AG588" s="65"/>
      <c r="AH588" s="65"/>
      <c r="AJ588" s="184" t="s">
        <v>753</v>
      </c>
      <c r="AK588" s="184" t="s">
        <v>100</v>
      </c>
      <c r="AL588" s="184" t="s">
        <v>1430</v>
      </c>
      <c r="AM588" s="184" t="s">
        <v>1471</v>
      </c>
      <c r="AN588" s="184" t="s">
        <v>1471</v>
      </c>
      <c r="AO588" s="184">
        <v>12</v>
      </c>
    </row>
    <row r="589" spans="33:41" x14ac:dyDescent="0.25">
      <c r="AG589" s="65"/>
      <c r="AH589" s="65"/>
      <c r="AJ589" s="184" t="s">
        <v>754</v>
      </c>
      <c r="AK589" s="184" t="s">
        <v>100</v>
      </c>
      <c r="AL589" s="184" t="s">
        <v>1430</v>
      </c>
      <c r="AM589" s="184" t="s">
        <v>1471</v>
      </c>
      <c r="AN589" s="184" t="s">
        <v>1471</v>
      </c>
      <c r="AO589" s="184">
        <v>12</v>
      </c>
    </row>
    <row r="590" spans="33:41" x14ac:dyDescent="0.25">
      <c r="AG590" s="65"/>
      <c r="AH590" s="65"/>
      <c r="AJ590" s="184" t="s">
        <v>755</v>
      </c>
      <c r="AK590" s="184" t="s">
        <v>100</v>
      </c>
      <c r="AL590" s="184" t="s">
        <v>1430</v>
      </c>
      <c r="AM590" s="184" t="s">
        <v>1471</v>
      </c>
      <c r="AN590" s="184" t="s">
        <v>1471</v>
      </c>
      <c r="AO590" s="184">
        <v>12</v>
      </c>
    </row>
    <row r="591" spans="33:41" x14ac:dyDescent="0.25">
      <c r="AG591" s="65"/>
      <c r="AH591" s="65"/>
      <c r="AJ591" s="184" t="s">
        <v>756</v>
      </c>
      <c r="AK591" s="184" t="s">
        <v>100</v>
      </c>
      <c r="AL591" s="184" t="s">
        <v>1430</v>
      </c>
      <c r="AM591" s="184" t="s">
        <v>1471</v>
      </c>
      <c r="AN591" s="184" t="s">
        <v>1471</v>
      </c>
      <c r="AO591" s="184">
        <v>12</v>
      </c>
    </row>
    <row r="592" spans="33:41" x14ac:dyDescent="0.25">
      <c r="AG592" s="65"/>
      <c r="AH592" s="65"/>
      <c r="AJ592" s="184" t="s">
        <v>757</v>
      </c>
      <c r="AK592" s="184" t="s">
        <v>100</v>
      </c>
      <c r="AL592" s="184" t="s">
        <v>1430</v>
      </c>
      <c r="AM592" s="184" t="s">
        <v>1471</v>
      </c>
      <c r="AN592" s="184" t="s">
        <v>1471</v>
      </c>
      <c r="AO592" s="184">
        <v>12</v>
      </c>
    </row>
    <row r="593" spans="33:41" x14ac:dyDescent="0.25">
      <c r="AG593" s="65"/>
      <c r="AH593" s="65"/>
      <c r="AJ593" s="184" t="s">
        <v>758</v>
      </c>
      <c r="AK593" s="184" t="s">
        <v>100</v>
      </c>
      <c r="AL593" s="184" t="s">
        <v>1430</v>
      </c>
      <c r="AM593" s="184" t="s">
        <v>1471</v>
      </c>
      <c r="AN593" s="184" t="s">
        <v>1471</v>
      </c>
      <c r="AO593" s="184">
        <v>12</v>
      </c>
    </row>
    <row r="594" spans="33:41" x14ac:dyDescent="0.25">
      <c r="AG594" s="65"/>
      <c r="AH594" s="65"/>
      <c r="AJ594" s="184" t="s">
        <v>759</v>
      </c>
      <c r="AK594" s="184" t="s">
        <v>100</v>
      </c>
      <c r="AL594" s="184" t="s">
        <v>1430</v>
      </c>
      <c r="AM594" s="184" t="s">
        <v>1471</v>
      </c>
      <c r="AN594" s="184" t="s">
        <v>1471</v>
      </c>
      <c r="AO594" s="184">
        <v>12</v>
      </c>
    </row>
    <row r="595" spans="33:41" x14ac:dyDescent="0.25">
      <c r="AG595" s="65"/>
      <c r="AH595" s="65"/>
      <c r="AJ595" s="184" t="s">
        <v>760</v>
      </c>
      <c r="AK595" s="184" t="s">
        <v>100</v>
      </c>
      <c r="AL595" s="184" t="s">
        <v>1430</v>
      </c>
      <c r="AM595" s="184" t="s">
        <v>1471</v>
      </c>
      <c r="AN595" s="184" t="s">
        <v>1471</v>
      </c>
      <c r="AO595" s="184">
        <v>12</v>
      </c>
    </row>
    <row r="596" spans="33:41" x14ac:dyDescent="0.25">
      <c r="AG596" s="65"/>
      <c r="AH596" s="65"/>
      <c r="AJ596" s="184" t="s">
        <v>761</v>
      </c>
      <c r="AK596" s="184" t="s">
        <v>134</v>
      </c>
      <c r="AL596" s="184" t="s">
        <v>1430</v>
      </c>
      <c r="AM596" s="184" t="s">
        <v>59</v>
      </c>
      <c r="AN596" s="184" t="s">
        <v>1540</v>
      </c>
      <c r="AO596" s="184">
        <v>12</v>
      </c>
    </row>
    <row r="597" spans="33:41" x14ac:dyDescent="0.25">
      <c r="AG597" s="65"/>
      <c r="AH597" s="65"/>
      <c r="AJ597" s="184" t="s">
        <v>762</v>
      </c>
      <c r="AK597" s="184" t="s">
        <v>143</v>
      </c>
      <c r="AL597" s="184" t="s">
        <v>1430</v>
      </c>
      <c r="AM597" s="184" t="s">
        <v>1453</v>
      </c>
      <c r="AN597" s="184" t="s">
        <v>137</v>
      </c>
      <c r="AO597" s="184">
        <v>6</v>
      </c>
    </row>
    <row r="598" spans="33:41" x14ac:dyDescent="0.25">
      <c r="AG598" s="65"/>
      <c r="AH598" s="65"/>
      <c r="AJ598" s="184" t="s">
        <v>763</v>
      </c>
      <c r="AK598" s="184" t="s">
        <v>83</v>
      </c>
      <c r="AL598" s="184" t="s">
        <v>1430</v>
      </c>
      <c r="AM598" s="184" t="s">
        <v>1459</v>
      </c>
      <c r="AN598" s="184" t="s">
        <v>137</v>
      </c>
      <c r="AO598" s="184">
        <v>12</v>
      </c>
    </row>
    <row r="599" spans="33:41" x14ac:dyDescent="0.25">
      <c r="AG599" s="65"/>
      <c r="AH599" s="65"/>
      <c r="AJ599" s="184" t="s">
        <v>764</v>
      </c>
      <c r="AK599" s="184" t="s">
        <v>83</v>
      </c>
      <c r="AL599" s="184" t="s">
        <v>1430</v>
      </c>
      <c r="AM599" s="184" t="s">
        <v>1471</v>
      </c>
      <c r="AN599" s="184" t="s">
        <v>1471</v>
      </c>
      <c r="AO599" s="184">
        <v>12</v>
      </c>
    </row>
    <row r="600" spans="33:41" x14ac:dyDescent="0.25">
      <c r="AG600" s="65"/>
      <c r="AH600" s="65"/>
      <c r="AJ600" s="184" t="s">
        <v>765</v>
      </c>
      <c r="AK600" s="184" t="s">
        <v>83</v>
      </c>
      <c r="AL600" s="184" t="s">
        <v>1430</v>
      </c>
      <c r="AM600" s="184" t="s">
        <v>1471</v>
      </c>
      <c r="AN600" s="184" t="s">
        <v>1471</v>
      </c>
      <c r="AO600" s="184">
        <v>12</v>
      </c>
    </row>
    <row r="601" spans="33:41" x14ac:dyDescent="0.25">
      <c r="AG601" s="65"/>
      <c r="AH601" s="65"/>
      <c r="AJ601" s="184" t="s">
        <v>766</v>
      </c>
      <c r="AK601" s="184" t="s">
        <v>83</v>
      </c>
      <c r="AL601" s="184" t="s">
        <v>1430</v>
      </c>
      <c r="AM601" s="184" t="s">
        <v>1471</v>
      </c>
      <c r="AN601" s="184" t="s">
        <v>1471</v>
      </c>
      <c r="AO601" s="184">
        <v>12</v>
      </c>
    </row>
    <row r="602" spans="33:41" x14ac:dyDescent="0.25">
      <c r="AG602" s="65"/>
      <c r="AH602" s="65"/>
      <c r="AJ602" s="184" t="s">
        <v>767</v>
      </c>
      <c r="AK602" s="184" t="s">
        <v>83</v>
      </c>
      <c r="AL602" s="184" t="s">
        <v>1430</v>
      </c>
      <c r="AM602" s="184" t="s">
        <v>1471</v>
      </c>
      <c r="AN602" s="184" t="s">
        <v>1471</v>
      </c>
      <c r="AO602" s="184">
        <v>12</v>
      </c>
    </row>
    <row r="603" spans="33:41" x14ac:dyDescent="0.25">
      <c r="AG603" s="65"/>
      <c r="AH603" s="65"/>
      <c r="AJ603" s="184" t="s">
        <v>768</v>
      </c>
      <c r="AK603" s="184" t="s">
        <v>83</v>
      </c>
      <c r="AL603" s="184" t="s">
        <v>1430</v>
      </c>
      <c r="AM603" s="184" t="s">
        <v>1471</v>
      </c>
      <c r="AN603" s="184" t="s">
        <v>1471</v>
      </c>
      <c r="AO603" s="184">
        <v>12</v>
      </c>
    </row>
    <row r="604" spans="33:41" x14ac:dyDescent="0.25">
      <c r="AG604" s="65"/>
      <c r="AH604" s="65"/>
      <c r="AJ604" s="184" t="s">
        <v>769</v>
      </c>
      <c r="AK604" s="184" t="s">
        <v>83</v>
      </c>
      <c r="AL604" s="184" t="s">
        <v>1430</v>
      </c>
      <c r="AM604" s="184" t="s">
        <v>1471</v>
      </c>
      <c r="AN604" s="184" t="s">
        <v>1471</v>
      </c>
      <c r="AO604" s="184">
        <v>12</v>
      </c>
    </row>
    <row r="605" spans="33:41" x14ac:dyDescent="0.25">
      <c r="AG605" s="65"/>
      <c r="AH605" s="65"/>
      <c r="AJ605" s="184" t="s">
        <v>770</v>
      </c>
      <c r="AK605" s="184" t="s">
        <v>135</v>
      </c>
      <c r="AL605" s="184" t="s">
        <v>1430</v>
      </c>
      <c r="AM605" s="184" t="s">
        <v>1483</v>
      </c>
      <c r="AN605" s="184" t="s">
        <v>1538</v>
      </c>
      <c r="AO605" s="184">
        <v>12</v>
      </c>
    </row>
    <row r="606" spans="33:41" x14ac:dyDescent="0.25">
      <c r="AG606" s="65"/>
      <c r="AH606" s="65"/>
      <c r="AJ606" s="184" t="s">
        <v>771</v>
      </c>
      <c r="AK606" s="184" t="s">
        <v>135</v>
      </c>
      <c r="AL606" s="184" t="s">
        <v>1430</v>
      </c>
      <c r="AM606" s="184" t="s">
        <v>1483</v>
      </c>
      <c r="AN606" s="184" t="s">
        <v>1538</v>
      </c>
      <c r="AO606" s="184">
        <v>12</v>
      </c>
    </row>
    <row r="607" spans="33:41" x14ac:dyDescent="0.25">
      <c r="AG607" s="65"/>
      <c r="AH607" s="65"/>
      <c r="AJ607" s="184" t="s">
        <v>772</v>
      </c>
      <c r="AK607" s="184" t="s">
        <v>1409</v>
      </c>
      <c r="AL607" s="184" t="s">
        <v>1430</v>
      </c>
      <c r="AM607" s="184" t="s">
        <v>1506</v>
      </c>
      <c r="AN607" s="184" t="s">
        <v>137</v>
      </c>
      <c r="AO607" s="184">
        <v>12</v>
      </c>
    </row>
    <row r="608" spans="33:41" x14ac:dyDescent="0.25">
      <c r="AG608" s="65"/>
      <c r="AH608" s="65"/>
      <c r="AJ608" s="184" t="s">
        <v>773</v>
      </c>
      <c r="AK608" s="184" t="s">
        <v>148</v>
      </c>
      <c r="AL608" s="184" t="s">
        <v>1430</v>
      </c>
      <c r="AM608" s="184" t="s">
        <v>59</v>
      </c>
      <c r="AN608" s="184" t="s">
        <v>1540</v>
      </c>
      <c r="AO608" s="184">
        <v>12</v>
      </c>
    </row>
    <row r="609" spans="33:41" x14ac:dyDescent="0.25">
      <c r="AG609" s="65"/>
      <c r="AH609" s="65"/>
      <c r="AJ609" s="184" t="s">
        <v>774</v>
      </c>
      <c r="AK609" s="184" t="s">
        <v>142</v>
      </c>
      <c r="AL609" s="184" t="s">
        <v>1430</v>
      </c>
      <c r="AM609" s="184" t="s">
        <v>59</v>
      </c>
      <c r="AN609" s="184" t="s">
        <v>1540</v>
      </c>
      <c r="AO609" s="184">
        <v>12</v>
      </c>
    </row>
    <row r="610" spans="33:41" x14ac:dyDescent="0.25">
      <c r="AG610" s="65"/>
      <c r="AH610" s="65"/>
      <c r="AJ610" s="184" t="s">
        <v>775</v>
      </c>
      <c r="AK610" s="184" t="s">
        <v>135</v>
      </c>
      <c r="AL610" s="184" t="s">
        <v>1430</v>
      </c>
      <c r="AM610" s="184" t="s">
        <v>1454</v>
      </c>
      <c r="AN610" s="184" t="s">
        <v>137</v>
      </c>
      <c r="AO610" s="184">
        <v>12</v>
      </c>
    </row>
    <row r="611" spans="33:41" x14ac:dyDescent="0.25">
      <c r="AG611" s="65"/>
      <c r="AH611" s="65"/>
      <c r="AJ611" s="184" t="s">
        <v>776</v>
      </c>
      <c r="AK611" s="184" t="s">
        <v>148</v>
      </c>
      <c r="AL611" s="184" t="s">
        <v>1430</v>
      </c>
      <c r="AM611" s="184" t="s">
        <v>59</v>
      </c>
      <c r="AN611" s="184" t="s">
        <v>1540</v>
      </c>
      <c r="AO611" s="184">
        <v>12</v>
      </c>
    </row>
    <row r="612" spans="33:41" x14ac:dyDescent="0.25">
      <c r="AG612" s="65"/>
      <c r="AH612" s="65"/>
      <c r="AJ612" s="184" t="s">
        <v>777</v>
      </c>
      <c r="AK612" s="184" t="s">
        <v>156</v>
      </c>
      <c r="AL612" s="184" t="s">
        <v>1430</v>
      </c>
      <c r="AM612" s="184" t="s">
        <v>1471</v>
      </c>
      <c r="AN612" s="184" t="s">
        <v>1471</v>
      </c>
      <c r="AO612" s="184">
        <v>12</v>
      </c>
    </row>
    <row r="613" spans="33:41" x14ac:dyDescent="0.25">
      <c r="AG613" s="65"/>
      <c r="AH613" s="65"/>
      <c r="AJ613" s="184" t="s">
        <v>778</v>
      </c>
      <c r="AK613" s="184" t="s">
        <v>156</v>
      </c>
      <c r="AL613" s="184" t="s">
        <v>1430</v>
      </c>
      <c r="AM613" s="184" t="s">
        <v>1471</v>
      </c>
      <c r="AN613" s="184" t="s">
        <v>1471</v>
      </c>
      <c r="AO613" s="184">
        <v>12</v>
      </c>
    </row>
    <row r="614" spans="33:41" x14ac:dyDescent="0.25">
      <c r="AG614" s="65"/>
      <c r="AH614" s="65"/>
      <c r="AJ614" s="184" t="s">
        <v>779</v>
      </c>
      <c r="AK614" s="184" t="s">
        <v>156</v>
      </c>
      <c r="AL614" s="184" t="s">
        <v>1430</v>
      </c>
      <c r="AM614" s="184" t="s">
        <v>1471</v>
      </c>
      <c r="AN614" s="184" t="s">
        <v>1471</v>
      </c>
      <c r="AO614" s="184">
        <v>12</v>
      </c>
    </row>
    <row r="615" spans="33:41" x14ac:dyDescent="0.25">
      <c r="AG615" s="65"/>
      <c r="AH615" s="65"/>
      <c r="AJ615" s="184" t="s">
        <v>780</v>
      </c>
      <c r="AK615" s="184" t="s">
        <v>156</v>
      </c>
      <c r="AL615" s="184" t="s">
        <v>1430</v>
      </c>
      <c r="AM615" s="184" t="s">
        <v>1471</v>
      </c>
      <c r="AN615" s="184" t="s">
        <v>1471</v>
      </c>
      <c r="AO615" s="184">
        <v>12</v>
      </c>
    </row>
    <row r="616" spans="33:41" x14ac:dyDescent="0.25">
      <c r="AG616" s="65"/>
      <c r="AH616" s="65"/>
      <c r="AJ616" s="184" t="s">
        <v>781</v>
      </c>
      <c r="AK616" s="184" t="s">
        <v>156</v>
      </c>
      <c r="AL616" s="184" t="s">
        <v>1430</v>
      </c>
      <c r="AM616" s="184" t="s">
        <v>1471</v>
      </c>
      <c r="AN616" s="184" t="s">
        <v>1471</v>
      </c>
      <c r="AO616" s="184">
        <v>12</v>
      </c>
    </row>
    <row r="617" spans="33:41" x14ac:dyDescent="0.25">
      <c r="AG617" s="65"/>
      <c r="AH617" s="65"/>
      <c r="AJ617" s="184" t="s">
        <v>782</v>
      </c>
      <c r="AK617" s="184" t="s">
        <v>156</v>
      </c>
      <c r="AL617" s="184" t="s">
        <v>1430</v>
      </c>
      <c r="AM617" s="184" t="s">
        <v>1471</v>
      </c>
      <c r="AN617" s="184" t="s">
        <v>1471</v>
      </c>
      <c r="AO617" s="184">
        <v>12</v>
      </c>
    </row>
    <row r="618" spans="33:41" x14ac:dyDescent="0.25">
      <c r="AG618" s="65"/>
      <c r="AH618" s="65"/>
      <c r="AJ618" s="184" t="s">
        <v>783</v>
      </c>
      <c r="AK618" s="184" t="s">
        <v>156</v>
      </c>
      <c r="AL618" s="184" t="s">
        <v>1430</v>
      </c>
      <c r="AM618" s="184" t="s">
        <v>1471</v>
      </c>
      <c r="AN618" s="184" t="s">
        <v>1471</v>
      </c>
      <c r="AO618" s="184">
        <v>12</v>
      </c>
    </row>
    <row r="619" spans="33:41" x14ac:dyDescent="0.25">
      <c r="AG619" s="65"/>
      <c r="AH619" s="65"/>
      <c r="AJ619" s="184" t="s">
        <v>784</v>
      </c>
      <c r="AK619" s="184" t="s">
        <v>156</v>
      </c>
      <c r="AL619" s="184" t="s">
        <v>1430</v>
      </c>
      <c r="AM619" s="184" t="s">
        <v>1471</v>
      </c>
      <c r="AN619" s="184" t="s">
        <v>1471</v>
      </c>
      <c r="AO619" s="184">
        <v>12</v>
      </c>
    </row>
    <row r="620" spans="33:41" x14ac:dyDescent="0.25">
      <c r="AG620" s="65"/>
      <c r="AH620" s="65"/>
      <c r="AJ620" s="184" t="s">
        <v>785</v>
      </c>
      <c r="AK620" s="184" t="s">
        <v>156</v>
      </c>
      <c r="AL620" s="184" t="s">
        <v>1430</v>
      </c>
      <c r="AM620" s="184" t="s">
        <v>1471</v>
      </c>
      <c r="AN620" s="184" t="s">
        <v>1471</v>
      </c>
      <c r="AO620" s="184">
        <v>12</v>
      </c>
    </row>
    <row r="621" spans="33:41" x14ac:dyDescent="0.25">
      <c r="AG621" s="65"/>
      <c r="AH621" s="65"/>
      <c r="AJ621" s="184" t="s">
        <v>786</v>
      </c>
      <c r="AK621" s="184" t="s">
        <v>156</v>
      </c>
      <c r="AL621" s="184" t="s">
        <v>1430</v>
      </c>
      <c r="AM621" s="184" t="s">
        <v>1471</v>
      </c>
      <c r="AN621" s="184" t="s">
        <v>1471</v>
      </c>
      <c r="AO621" s="184">
        <v>12</v>
      </c>
    </row>
    <row r="622" spans="33:41" x14ac:dyDescent="0.25">
      <c r="AG622" s="65"/>
      <c r="AH622" s="65"/>
      <c r="AJ622" s="184" t="s">
        <v>787</v>
      </c>
      <c r="AK622" s="184" t="s">
        <v>156</v>
      </c>
      <c r="AL622" s="184" t="s">
        <v>1430</v>
      </c>
      <c r="AM622" s="184" t="s">
        <v>1471</v>
      </c>
      <c r="AN622" s="184" t="s">
        <v>1471</v>
      </c>
      <c r="AO622" s="184">
        <v>12</v>
      </c>
    </row>
    <row r="623" spans="33:41" x14ac:dyDescent="0.25">
      <c r="AG623" s="65"/>
      <c r="AH623" s="65"/>
      <c r="AJ623" s="184" t="s">
        <v>788</v>
      </c>
      <c r="AK623" s="184" t="s">
        <v>156</v>
      </c>
      <c r="AL623" s="184" t="s">
        <v>1430</v>
      </c>
      <c r="AM623" s="184" t="s">
        <v>1471</v>
      </c>
      <c r="AN623" s="184" t="s">
        <v>1471</v>
      </c>
      <c r="AO623" s="184">
        <v>12</v>
      </c>
    </row>
    <row r="624" spans="33:41" x14ac:dyDescent="0.25">
      <c r="AG624" s="65"/>
      <c r="AH624" s="65"/>
      <c r="AJ624" s="184" t="s">
        <v>789</v>
      </c>
      <c r="AK624" s="184" t="s">
        <v>156</v>
      </c>
      <c r="AL624" s="184" t="s">
        <v>1430</v>
      </c>
      <c r="AM624" s="184" t="s">
        <v>1471</v>
      </c>
      <c r="AN624" s="184" t="s">
        <v>1471</v>
      </c>
      <c r="AO624" s="184">
        <v>12</v>
      </c>
    </row>
    <row r="625" spans="33:41" x14ac:dyDescent="0.25">
      <c r="AG625" s="65"/>
      <c r="AH625" s="65"/>
      <c r="AJ625" s="184" t="s">
        <v>790</v>
      </c>
      <c r="AK625" s="184" t="s">
        <v>156</v>
      </c>
      <c r="AL625" s="184" t="s">
        <v>1430</v>
      </c>
      <c r="AM625" s="184" t="s">
        <v>1471</v>
      </c>
      <c r="AN625" s="184" t="s">
        <v>1471</v>
      </c>
      <c r="AO625" s="184">
        <v>12</v>
      </c>
    </row>
    <row r="626" spans="33:41" x14ac:dyDescent="0.25">
      <c r="AG626" s="65"/>
      <c r="AH626" s="65"/>
      <c r="AJ626" s="184" t="s">
        <v>791</v>
      </c>
      <c r="AK626" s="184" t="s">
        <v>156</v>
      </c>
      <c r="AL626" s="184" t="s">
        <v>1430</v>
      </c>
      <c r="AM626" s="184" t="s">
        <v>1471</v>
      </c>
      <c r="AN626" s="184" t="s">
        <v>1471</v>
      </c>
      <c r="AO626" s="184">
        <v>12</v>
      </c>
    </row>
    <row r="627" spans="33:41" x14ac:dyDescent="0.25">
      <c r="AG627" s="65"/>
      <c r="AH627" s="65"/>
      <c r="AJ627" s="184" t="s">
        <v>792</v>
      </c>
      <c r="AK627" s="184" t="s">
        <v>156</v>
      </c>
      <c r="AL627" s="184" t="s">
        <v>1430</v>
      </c>
      <c r="AM627" s="184" t="s">
        <v>1471</v>
      </c>
      <c r="AN627" s="184" t="s">
        <v>1471</v>
      </c>
      <c r="AO627" s="184">
        <v>12</v>
      </c>
    </row>
    <row r="628" spans="33:41" x14ac:dyDescent="0.25">
      <c r="AG628" s="65"/>
      <c r="AH628" s="65"/>
      <c r="AJ628" s="184" t="s">
        <v>793</v>
      </c>
      <c r="AK628" s="184" t="s">
        <v>156</v>
      </c>
      <c r="AL628" s="184" t="s">
        <v>1430</v>
      </c>
      <c r="AM628" s="184" t="s">
        <v>1471</v>
      </c>
      <c r="AN628" s="184" t="s">
        <v>1471</v>
      </c>
      <c r="AO628" s="184">
        <v>12</v>
      </c>
    </row>
    <row r="629" spans="33:41" x14ac:dyDescent="0.25">
      <c r="AG629" s="65"/>
      <c r="AH629" s="65"/>
      <c r="AJ629" s="184" t="s">
        <v>794</v>
      </c>
      <c r="AK629" s="184" t="s">
        <v>156</v>
      </c>
      <c r="AL629" s="184" t="s">
        <v>1430</v>
      </c>
      <c r="AM629" s="184" t="s">
        <v>1471</v>
      </c>
      <c r="AN629" s="184" t="s">
        <v>1471</v>
      </c>
      <c r="AO629" s="184">
        <v>12</v>
      </c>
    </row>
    <row r="630" spans="33:41" x14ac:dyDescent="0.25">
      <c r="AG630" s="65"/>
      <c r="AH630" s="65"/>
      <c r="AJ630" s="184" t="s">
        <v>795</v>
      </c>
      <c r="AK630" s="184" t="s">
        <v>156</v>
      </c>
      <c r="AL630" s="184" t="s">
        <v>1430</v>
      </c>
      <c r="AM630" s="184" t="s">
        <v>1471</v>
      </c>
      <c r="AN630" s="184" t="s">
        <v>1471</v>
      </c>
      <c r="AO630" s="184">
        <v>12</v>
      </c>
    </row>
    <row r="631" spans="33:41" x14ac:dyDescent="0.25">
      <c r="AG631" s="65"/>
      <c r="AH631" s="65"/>
      <c r="AJ631" s="184" t="s">
        <v>796</v>
      </c>
      <c r="AK631" s="184" t="s">
        <v>156</v>
      </c>
      <c r="AL631" s="184" t="s">
        <v>1430</v>
      </c>
      <c r="AM631" s="184" t="s">
        <v>1471</v>
      </c>
      <c r="AN631" s="184" t="s">
        <v>1471</v>
      </c>
      <c r="AO631" s="184">
        <v>12</v>
      </c>
    </row>
    <row r="632" spans="33:41" x14ac:dyDescent="0.25">
      <c r="AG632" s="65"/>
      <c r="AH632" s="65"/>
      <c r="AJ632" s="184" t="s">
        <v>797</v>
      </c>
      <c r="AK632" s="184" t="s">
        <v>156</v>
      </c>
      <c r="AL632" s="184" t="s">
        <v>1430</v>
      </c>
      <c r="AM632" s="184" t="s">
        <v>1471</v>
      </c>
      <c r="AN632" s="184" t="s">
        <v>1471</v>
      </c>
      <c r="AO632" s="184">
        <v>12</v>
      </c>
    </row>
    <row r="633" spans="33:41" x14ac:dyDescent="0.25">
      <c r="AG633" s="65"/>
      <c r="AH633" s="65"/>
      <c r="AJ633" s="184" t="s">
        <v>798</v>
      </c>
      <c r="AK633" s="184" t="s">
        <v>156</v>
      </c>
      <c r="AL633" s="184" t="s">
        <v>1430</v>
      </c>
      <c r="AM633" s="184" t="s">
        <v>1471</v>
      </c>
      <c r="AN633" s="184" t="s">
        <v>1471</v>
      </c>
      <c r="AO633" s="184">
        <v>12</v>
      </c>
    </row>
    <row r="634" spans="33:41" x14ac:dyDescent="0.25">
      <c r="AG634" s="65"/>
      <c r="AH634" s="65"/>
      <c r="AJ634" s="184" t="s">
        <v>799</v>
      </c>
      <c r="AK634" s="184" t="s">
        <v>156</v>
      </c>
      <c r="AL634" s="184" t="s">
        <v>1430</v>
      </c>
      <c r="AM634" s="184" t="s">
        <v>1471</v>
      </c>
      <c r="AN634" s="184" t="s">
        <v>1471</v>
      </c>
      <c r="AO634" s="184">
        <v>12</v>
      </c>
    </row>
    <row r="635" spans="33:41" x14ac:dyDescent="0.25">
      <c r="AG635" s="65"/>
      <c r="AH635" s="65"/>
      <c r="AJ635" s="184" t="s">
        <v>800</v>
      </c>
      <c r="AK635" s="184" t="s">
        <v>156</v>
      </c>
      <c r="AL635" s="184" t="s">
        <v>1430</v>
      </c>
      <c r="AM635" s="184" t="s">
        <v>1471</v>
      </c>
      <c r="AN635" s="184" t="s">
        <v>1471</v>
      </c>
      <c r="AO635" s="184">
        <v>12</v>
      </c>
    </row>
    <row r="636" spans="33:41" x14ac:dyDescent="0.25">
      <c r="AG636" s="65"/>
      <c r="AH636" s="65"/>
      <c r="AJ636" s="184" t="s">
        <v>801</v>
      </c>
      <c r="AK636" s="184" t="s">
        <v>156</v>
      </c>
      <c r="AL636" s="184" t="s">
        <v>1430</v>
      </c>
      <c r="AM636" s="184" t="s">
        <v>1471</v>
      </c>
      <c r="AN636" s="184" t="s">
        <v>1471</v>
      </c>
      <c r="AO636" s="184">
        <v>12</v>
      </c>
    </row>
    <row r="637" spans="33:41" x14ac:dyDescent="0.25">
      <c r="AG637" s="65"/>
      <c r="AH637" s="65"/>
      <c r="AJ637" s="184" t="s">
        <v>802</v>
      </c>
      <c r="AK637" s="184" t="s">
        <v>156</v>
      </c>
      <c r="AL637" s="184" t="s">
        <v>1430</v>
      </c>
      <c r="AM637" s="184" t="s">
        <v>1471</v>
      </c>
      <c r="AN637" s="184" t="s">
        <v>1471</v>
      </c>
      <c r="AO637" s="184">
        <v>12</v>
      </c>
    </row>
    <row r="638" spans="33:41" x14ac:dyDescent="0.25">
      <c r="AG638" s="65"/>
      <c r="AH638" s="65"/>
      <c r="AJ638" s="184" t="s">
        <v>803</v>
      </c>
      <c r="AK638" s="184" t="s">
        <v>156</v>
      </c>
      <c r="AL638" s="184" t="s">
        <v>1430</v>
      </c>
      <c r="AM638" s="184" t="s">
        <v>1471</v>
      </c>
      <c r="AN638" s="184" t="s">
        <v>1471</v>
      </c>
      <c r="AO638" s="184">
        <v>12</v>
      </c>
    </row>
    <row r="639" spans="33:41" x14ac:dyDescent="0.25">
      <c r="AG639" s="65"/>
      <c r="AH639" s="65"/>
      <c r="AJ639" s="184" t="s">
        <v>804</v>
      </c>
      <c r="AK639" s="184" t="s">
        <v>156</v>
      </c>
      <c r="AL639" s="184" t="s">
        <v>1430</v>
      </c>
      <c r="AM639" s="184" t="s">
        <v>1471</v>
      </c>
      <c r="AN639" s="184" t="s">
        <v>1471</v>
      </c>
      <c r="AO639" s="184">
        <v>12</v>
      </c>
    </row>
    <row r="640" spans="33:41" x14ac:dyDescent="0.25">
      <c r="AG640" s="65"/>
      <c r="AH640" s="65"/>
      <c r="AJ640" s="184" t="s">
        <v>805</v>
      </c>
      <c r="AK640" s="184" t="s">
        <v>156</v>
      </c>
      <c r="AL640" s="184" t="s">
        <v>1430</v>
      </c>
      <c r="AM640" s="184" t="s">
        <v>1471</v>
      </c>
      <c r="AN640" s="184" t="s">
        <v>1471</v>
      </c>
      <c r="AO640" s="184">
        <v>12</v>
      </c>
    </row>
    <row r="641" spans="33:41" x14ac:dyDescent="0.25">
      <c r="AG641" s="65"/>
      <c r="AH641" s="65"/>
      <c r="AJ641" s="184" t="s">
        <v>806</v>
      </c>
      <c r="AK641" s="184" t="s">
        <v>156</v>
      </c>
      <c r="AL641" s="184" t="s">
        <v>1430</v>
      </c>
      <c r="AM641" s="184" t="s">
        <v>1471</v>
      </c>
      <c r="AN641" s="184" t="s">
        <v>1471</v>
      </c>
      <c r="AO641" s="184">
        <v>12</v>
      </c>
    </row>
    <row r="642" spans="33:41" x14ac:dyDescent="0.25">
      <c r="AG642" s="65"/>
      <c r="AH642" s="65"/>
      <c r="AJ642" s="184" t="s">
        <v>807</v>
      </c>
      <c r="AK642" s="184" t="s">
        <v>156</v>
      </c>
      <c r="AL642" s="184" t="s">
        <v>1430</v>
      </c>
      <c r="AM642" s="184" t="s">
        <v>1471</v>
      </c>
      <c r="AN642" s="184" t="s">
        <v>1471</v>
      </c>
      <c r="AO642" s="184">
        <v>12</v>
      </c>
    </row>
    <row r="643" spans="33:41" x14ac:dyDescent="0.25">
      <c r="AG643" s="65"/>
      <c r="AH643" s="65"/>
      <c r="AJ643" s="184" t="s">
        <v>808</v>
      </c>
      <c r="AK643" s="184" t="s">
        <v>156</v>
      </c>
      <c r="AL643" s="184" t="s">
        <v>1430</v>
      </c>
      <c r="AM643" s="184" t="s">
        <v>1471</v>
      </c>
      <c r="AN643" s="184" t="s">
        <v>1471</v>
      </c>
      <c r="AO643" s="184">
        <v>12</v>
      </c>
    </row>
    <row r="644" spans="33:41" x14ac:dyDescent="0.25">
      <c r="AG644" s="65"/>
      <c r="AH644" s="65"/>
      <c r="AJ644" s="184" t="s">
        <v>809</v>
      </c>
      <c r="AK644" s="184" t="s">
        <v>156</v>
      </c>
      <c r="AL644" s="184" t="s">
        <v>1430</v>
      </c>
      <c r="AM644" s="184" t="s">
        <v>1471</v>
      </c>
      <c r="AN644" s="184" t="s">
        <v>1471</v>
      </c>
      <c r="AO644" s="184">
        <v>12</v>
      </c>
    </row>
    <row r="645" spans="33:41" x14ac:dyDescent="0.25">
      <c r="AG645" s="65"/>
      <c r="AH645" s="65"/>
      <c r="AJ645" s="184" t="s">
        <v>810</v>
      </c>
      <c r="AK645" s="184" t="s">
        <v>156</v>
      </c>
      <c r="AL645" s="184" t="s">
        <v>1430</v>
      </c>
      <c r="AM645" s="184" t="s">
        <v>1471</v>
      </c>
      <c r="AN645" s="184" t="s">
        <v>1471</v>
      </c>
      <c r="AO645" s="184">
        <v>12</v>
      </c>
    </row>
    <row r="646" spans="33:41" x14ac:dyDescent="0.25">
      <c r="AG646" s="65"/>
      <c r="AH646" s="65"/>
      <c r="AJ646" s="184" t="s">
        <v>811</v>
      </c>
      <c r="AK646" s="184" t="s">
        <v>156</v>
      </c>
      <c r="AL646" s="184" t="s">
        <v>1430</v>
      </c>
      <c r="AM646" s="184" t="s">
        <v>1471</v>
      </c>
      <c r="AN646" s="184" t="s">
        <v>1471</v>
      </c>
      <c r="AO646" s="184">
        <v>12</v>
      </c>
    </row>
    <row r="647" spans="33:41" x14ac:dyDescent="0.25">
      <c r="AG647" s="65"/>
      <c r="AH647" s="65"/>
      <c r="AJ647" s="184" t="s">
        <v>812</v>
      </c>
      <c r="AK647" s="184" t="s">
        <v>156</v>
      </c>
      <c r="AL647" s="184" t="s">
        <v>1430</v>
      </c>
      <c r="AM647" s="184" t="s">
        <v>1471</v>
      </c>
      <c r="AN647" s="184" t="s">
        <v>1471</v>
      </c>
      <c r="AO647" s="184">
        <v>12</v>
      </c>
    </row>
    <row r="648" spans="33:41" x14ac:dyDescent="0.25">
      <c r="AG648" s="65"/>
      <c r="AH648" s="65"/>
      <c r="AJ648" s="184" t="s">
        <v>813</v>
      </c>
      <c r="AK648" s="184" t="s">
        <v>156</v>
      </c>
      <c r="AL648" s="184" t="s">
        <v>1430</v>
      </c>
      <c r="AM648" s="184" t="s">
        <v>1471</v>
      </c>
      <c r="AN648" s="184" t="s">
        <v>1471</v>
      </c>
      <c r="AO648" s="184">
        <v>12</v>
      </c>
    </row>
    <row r="649" spans="33:41" x14ac:dyDescent="0.25">
      <c r="AG649" s="65"/>
      <c r="AH649" s="65"/>
      <c r="AJ649" s="184" t="s">
        <v>814</v>
      </c>
      <c r="AK649" s="184" t="s">
        <v>156</v>
      </c>
      <c r="AL649" s="184" t="s">
        <v>1430</v>
      </c>
      <c r="AM649" s="184" t="s">
        <v>1471</v>
      </c>
      <c r="AN649" s="184" t="s">
        <v>1471</v>
      </c>
      <c r="AO649" s="184">
        <v>12</v>
      </c>
    </row>
    <row r="650" spans="33:41" x14ac:dyDescent="0.25">
      <c r="AG650" s="65"/>
      <c r="AH650" s="65"/>
      <c r="AJ650" s="184" t="s">
        <v>815</v>
      </c>
      <c r="AK650" s="184" t="s">
        <v>156</v>
      </c>
      <c r="AL650" s="184" t="s">
        <v>1430</v>
      </c>
      <c r="AM650" s="184" t="s">
        <v>1471</v>
      </c>
      <c r="AN650" s="184" t="s">
        <v>1471</v>
      </c>
      <c r="AO650" s="184">
        <v>12</v>
      </c>
    </row>
    <row r="651" spans="33:41" x14ac:dyDescent="0.25">
      <c r="AG651" s="65"/>
      <c r="AH651" s="65"/>
      <c r="AJ651" s="184" t="s">
        <v>816</v>
      </c>
      <c r="AK651" s="184" t="s">
        <v>156</v>
      </c>
      <c r="AL651" s="184" t="s">
        <v>1430</v>
      </c>
      <c r="AM651" s="184" t="s">
        <v>1471</v>
      </c>
      <c r="AN651" s="184" t="s">
        <v>1471</v>
      </c>
      <c r="AO651" s="184">
        <v>12</v>
      </c>
    </row>
    <row r="652" spans="33:41" x14ac:dyDescent="0.25">
      <c r="AG652" s="65"/>
      <c r="AH652" s="65"/>
      <c r="AJ652" s="184" t="s">
        <v>817</v>
      </c>
      <c r="AK652" s="184" t="s">
        <v>156</v>
      </c>
      <c r="AL652" s="184" t="s">
        <v>1430</v>
      </c>
      <c r="AM652" s="184" t="s">
        <v>1471</v>
      </c>
      <c r="AN652" s="184" t="s">
        <v>1471</v>
      </c>
      <c r="AO652" s="184">
        <v>12</v>
      </c>
    </row>
    <row r="653" spans="33:41" x14ac:dyDescent="0.25">
      <c r="AG653" s="65"/>
      <c r="AH653" s="65"/>
      <c r="AJ653" s="184" t="s">
        <v>818</v>
      </c>
      <c r="AK653" s="184" t="s">
        <v>156</v>
      </c>
      <c r="AL653" s="184" t="s">
        <v>1430</v>
      </c>
      <c r="AM653" s="184" t="s">
        <v>1471</v>
      </c>
      <c r="AN653" s="184" t="s">
        <v>1471</v>
      </c>
      <c r="AO653" s="184">
        <v>12</v>
      </c>
    </row>
    <row r="654" spans="33:41" x14ac:dyDescent="0.25">
      <c r="AG654" s="65"/>
      <c r="AH654" s="65"/>
      <c r="AJ654" s="184" t="s">
        <v>819</v>
      </c>
      <c r="AK654" s="184" t="s">
        <v>156</v>
      </c>
      <c r="AL654" s="184" t="s">
        <v>1430</v>
      </c>
      <c r="AM654" s="184" t="s">
        <v>1471</v>
      </c>
      <c r="AN654" s="184" t="s">
        <v>1471</v>
      </c>
      <c r="AO654" s="184">
        <v>12</v>
      </c>
    </row>
    <row r="655" spans="33:41" x14ac:dyDescent="0.25">
      <c r="AG655" s="65"/>
      <c r="AH655" s="65"/>
      <c r="AJ655" s="184" t="s">
        <v>820</v>
      </c>
      <c r="AK655" s="184" t="s">
        <v>156</v>
      </c>
      <c r="AL655" s="184" t="s">
        <v>1430</v>
      </c>
      <c r="AM655" s="184" t="s">
        <v>1471</v>
      </c>
      <c r="AN655" s="184" t="s">
        <v>1471</v>
      </c>
      <c r="AO655" s="184">
        <v>12</v>
      </c>
    </row>
    <row r="656" spans="33:41" x14ac:dyDescent="0.25">
      <c r="AG656" s="65"/>
      <c r="AH656" s="65"/>
      <c r="AJ656" s="184" t="s">
        <v>821</v>
      </c>
      <c r="AK656" s="184" t="s">
        <v>156</v>
      </c>
      <c r="AL656" s="184" t="s">
        <v>1430</v>
      </c>
      <c r="AM656" s="184" t="s">
        <v>1471</v>
      </c>
      <c r="AN656" s="184" t="s">
        <v>1471</v>
      </c>
      <c r="AO656" s="184">
        <v>12</v>
      </c>
    </row>
    <row r="657" spans="33:41" x14ac:dyDescent="0.25">
      <c r="AG657" s="65"/>
      <c r="AH657" s="65"/>
      <c r="AJ657" s="184" t="s">
        <v>822</v>
      </c>
      <c r="AK657" s="184" t="s">
        <v>156</v>
      </c>
      <c r="AL657" s="184" t="s">
        <v>1430</v>
      </c>
      <c r="AM657" s="184" t="s">
        <v>1471</v>
      </c>
      <c r="AN657" s="184" t="s">
        <v>1471</v>
      </c>
      <c r="AO657" s="184">
        <v>12</v>
      </c>
    </row>
    <row r="658" spans="33:41" x14ac:dyDescent="0.25">
      <c r="AG658" s="65"/>
      <c r="AH658" s="65"/>
      <c r="AJ658" s="184" t="s">
        <v>823</v>
      </c>
      <c r="AK658" s="184" t="s">
        <v>156</v>
      </c>
      <c r="AL658" s="184" t="s">
        <v>1430</v>
      </c>
      <c r="AM658" s="184" t="s">
        <v>1471</v>
      </c>
      <c r="AN658" s="184" t="s">
        <v>1471</v>
      </c>
      <c r="AO658" s="184">
        <v>12</v>
      </c>
    </row>
    <row r="659" spans="33:41" x14ac:dyDescent="0.25">
      <c r="AG659" s="65"/>
      <c r="AH659" s="65"/>
      <c r="AJ659" s="184" t="s">
        <v>824</v>
      </c>
      <c r="AK659" s="184" t="s">
        <v>156</v>
      </c>
      <c r="AL659" s="184" t="s">
        <v>1430</v>
      </c>
      <c r="AM659" s="184" t="s">
        <v>1471</v>
      </c>
      <c r="AN659" s="184" t="s">
        <v>1471</v>
      </c>
      <c r="AO659" s="184">
        <v>12</v>
      </c>
    </row>
    <row r="660" spans="33:41" x14ac:dyDescent="0.25">
      <c r="AG660" s="65"/>
      <c r="AH660" s="65"/>
      <c r="AJ660" s="184" t="s">
        <v>825</v>
      </c>
      <c r="AK660" s="184" t="s">
        <v>156</v>
      </c>
      <c r="AL660" s="184" t="s">
        <v>1430</v>
      </c>
      <c r="AM660" s="184" t="s">
        <v>1471</v>
      </c>
      <c r="AN660" s="184" t="s">
        <v>1471</v>
      </c>
      <c r="AO660" s="184">
        <v>12</v>
      </c>
    </row>
    <row r="661" spans="33:41" x14ac:dyDescent="0.25">
      <c r="AG661" s="65"/>
      <c r="AH661" s="65"/>
      <c r="AJ661" s="184" t="s">
        <v>826</v>
      </c>
      <c r="AK661" s="184" t="s">
        <v>156</v>
      </c>
      <c r="AL661" s="184" t="s">
        <v>1430</v>
      </c>
      <c r="AM661" s="184" t="s">
        <v>1471</v>
      </c>
      <c r="AN661" s="184" t="s">
        <v>1471</v>
      </c>
      <c r="AO661" s="184">
        <v>12</v>
      </c>
    </row>
    <row r="662" spans="33:41" x14ac:dyDescent="0.25">
      <c r="AG662" s="65"/>
      <c r="AH662" s="65"/>
      <c r="AJ662" s="184" t="s">
        <v>827</v>
      </c>
      <c r="AK662" s="184" t="s">
        <v>156</v>
      </c>
      <c r="AL662" s="184" t="s">
        <v>1430</v>
      </c>
      <c r="AM662" s="184" t="s">
        <v>1471</v>
      </c>
      <c r="AN662" s="184" t="s">
        <v>1471</v>
      </c>
      <c r="AO662" s="184">
        <v>12</v>
      </c>
    </row>
    <row r="663" spans="33:41" x14ac:dyDescent="0.25">
      <c r="AG663" s="65"/>
      <c r="AH663" s="65"/>
      <c r="AJ663" s="184" t="s">
        <v>828</v>
      </c>
      <c r="AK663" s="184" t="s">
        <v>156</v>
      </c>
      <c r="AL663" s="184" t="s">
        <v>1430</v>
      </c>
      <c r="AM663" s="184" t="s">
        <v>1471</v>
      </c>
      <c r="AN663" s="184" t="s">
        <v>1471</v>
      </c>
      <c r="AO663" s="184">
        <v>12</v>
      </c>
    </row>
    <row r="664" spans="33:41" x14ac:dyDescent="0.25">
      <c r="AG664" s="65"/>
      <c r="AH664" s="65"/>
      <c r="AJ664" s="184" t="s">
        <v>829</v>
      </c>
      <c r="AK664" s="184" t="s">
        <v>156</v>
      </c>
      <c r="AL664" s="184" t="s">
        <v>1430</v>
      </c>
      <c r="AM664" s="184" t="s">
        <v>1471</v>
      </c>
      <c r="AN664" s="184" t="s">
        <v>1471</v>
      </c>
      <c r="AO664" s="184">
        <v>12</v>
      </c>
    </row>
    <row r="665" spans="33:41" x14ac:dyDescent="0.25">
      <c r="AG665" s="65"/>
      <c r="AH665" s="65"/>
      <c r="AJ665" s="184" t="s">
        <v>830</v>
      </c>
      <c r="AK665" s="184" t="s">
        <v>156</v>
      </c>
      <c r="AL665" s="184" t="s">
        <v>1430</v>
      </c>
      <c r="AM665" s="184" t="s">
        <v>1471</v>
      </c>
      <c r="AN665" s="184" t="s">
        <v>1471</v>
      </c>
      <c r="AO665" s="184">
        <v>12</v>
      </c>
    </row>
    <row r="666" spans="33:41" x14ac:dyDescent="0.25">
      <c r="AG666" s="65"/>
      <c r="AH666" s="65"/>
      <c r="AJ666" s="184" t="s">
        <v>831</v>
      </c>
      <c r="AK666" s="184" t="s">
        <v>156</v>
      </c>
      <c r="AL666" s="184" t="s">
        <v>1430</v>
      </c>
      <c r="AM666" s="184" t="s">
        <v>1471</v>
      </c>
      <c r="AN666" s="184" t="s">
        <v>1471</v>
      </c>
      <c r="AO666" s="184">
        <v>12</v>
      </c>
    </row>
    <row r="667" spans="33:41" x14ac:dyDescent="0.25">
      <c r="AG667" s="65"/>
      <c r="AH667" s="65"/>
      <c r="AJ667" s="184" t="s">
        <v>832</v>
      </c>
      <c r="AK667" s="184" t="s">
        <v>156</v>
      </c>
      <c r="AL667" s="184" t="s">
        <v>1430</v>
      </c>
      <c r="AM667" s="184" t="s">
        <v>1471</v>
      </c>
      <c r="AN667" s="184" t="s">
        <v>1471</v>
      </c>
      <c r="AO667" s="184">
        <v>12</v>
      </c>
    </row>
    <row r="668" spans="33:41" x14ac:dyDescent="0.25">
      <c r="AG668" s="65"/>
      <c r="AH668" s="65"/>
      <c r="AJ668" s="184" t="s">
        <v>833</v>
      </c>
      <c r="AK668" s="184" t="s">
        <v>156</v>
      </c>
      <c r="AL668" s="184" t="s">
        <v>1430</v>
      </c>
      <c r="AM668" s="184" t="s">
        <v>1471</v>
      </c>
      <c r="AN668" s="184" t="s">
        <v>1471</v>
      </c>
      <c r="AO668" s="184">
        <v>12</v>
      </c>
    </row>
    <row r="669" spans="33:41" x14ac:dyDescent="0.25">
      <c r="AG669" s="65"/>
      <c r="AH669" s="65"/>
      <c r="AJ669" s="184" t="s">
        <v>834</v>
      </c>
      <c r="AK669" s="184" t="s">
        <v>156</v>
      </c>
      <c r="AL669" s="184" t="s">
        <v>1430</v>
      </c>
      <c r="AM669" s="184" t="s">
        <v>1471</v>
      </c>
      <c r="AN669" s="184" t="s">
        <v>1471</v>
      </c>
      <c r="AO669" s="184">
        <v>12</v>
      </c>
    </row>
    <row r="670" spans="33:41" x14ac:dyDescent="0.25">
      <c r="AG670" s="65"/>
      <c r="AH670" s="65"/>
      <c r="AJ670" s="184" t="s">
        <v>835</v>
      </c>
      <c r="AK670" s="184" t="s">
        <v>156</v>
      </c>
      <c r="AL670" s="184" t="s">
        <v>1430</v>
      </c>
      <c r="AM670" s="184" t="s">
        <v>1471</v>
      </c>
      <c r="AN670" s="184" t="s">
        <v>1471</v>
      </c>
      <c r="AO670" s="184">
        <v>12</v>
      </c>
    </row>
    <row r="671" spans="33:41" x14ac:dyDescent="0.25">
      <c r="AG671" s="65"/>
      <c r="AH671" s="65"/>
      <c r="AJ671" s="184" t="s">
        <v>836</v>
      </c>
      <c r="AK671" s="184" t="s">
        <v>156</v>
      </c>
      <c r="AL671" s="184" t="s">
        <v>1430</v>
      </c>
      <c r="AM671" s="184" t="s">
        <v>1471</v>
      </c>
      <c r="AN671" s="184" t="s">
        <v>1471</v>
      </c>
      <c r="AO671" s="184">
        <v>12</v>
      </c>
    </row>
    <row r="672" spans="33:41" x14ac:dyDescent="0.25">
      <c r="AG672" s="65"/>
      <c r="AH672" s="65"/>
      <c r="AJ672" s="184" t="s">
        <v>837</v>
      </c>
      <c r="AK672" s="184" t="s">
        <v>156</v>
      </c>
      <c r="AL672" s="184" t="s">
        <v>1430</v>
      </c>
      <c r="AM672" s="184" t="s">
        <v>1471</v>
      </c>
      <c r="AN672" s="184" t="s">
        <v>1471</v>
      </c>
      <c r="AO672" s="184">
        <v>12</v>
      </c>
    </row>
    <row r="673" spans="33:41" x14ac:dyDescent="0.25">
      <c r="AG673" s="65"/>
      <c r="AH673" s="65"/>
      <c r="AJ673" s="184" t="s">
        <v>838</v>
      </c>
      <c r="AK673" s="184" t="s">
        <v>156</v>
      </c>
      <c r="AL673" s="184" t="s">
        <v>1430</v>
      </c>
      <c r="AM673" s="184" t="s">
        <v>1471</v>
      </c>
      <c r="AN673" s="184" t="s">
        <v>1471</v>
      </c>
      <c r="AO673" s="184">
        <v>12</v>
      </c>
    </row>
    <row r="674" spans="33:41" x14ac:dyDescent="0.25">
      <c r="AG674" s="65"/>
      <c r="AH674" s="65"/>
      <c r="AJ674" s="184" t="s">
        <v>839</v>
      </c>
      <c r="AK674" s="184" t="s">
        <v>156</v>
      </c>
      <c r="AL674" s="184" t="s">
        <v>1430</v>
      </c>
      <c r="AM674" s="184" t="s">
        <v>1471</v>
      </c>
      <c r="AN674" s="184" t="s">
        <v>1471</v>
      </c>
      <c r="AO674" s="184">
        <v>12</v>
      </c>
    </row>
    <row r="675" spans="33:41" x14ac:dyDescent="0.25">
      <c r="AG675" s="65"/>
      <c r="AH675" s="65"/>
      <c r="AJ675" s="184" t="s">
        <v>840</v>
      </c>
      <c r="AK675" s="184" t="s">
        <v>156</v>
      </c>
      <c r="AL675" s="184" t="s">
        <v>1430</v>
      </c>
      <c r="AM675" s="184" t="s">
        <v>1471</v>
      </c>
      <c r="AN675" s="184" t="s">
        <v>1471</v>
      </c>
      <c r="AO675" s="184">
        <v>12</v>
      </c>
    </row>
    <row r="676" spans="33:41" x14ac:dyDescent="0.25">
      <c r="AG676" s="65"/>
      <c r="AH676" s="65"/>
      <c r="AJ676" s="184" t="s">
        <v>841</v>
      </c>
      <c r="AK676" s="184" t="s">
        <v>156</v>
      </c>
      <c r="AL676" s="184" t="s">
        <v>1430</v>
      </c>
      <c r="AM676" s="184" t="s">
        <v>1471</v>
      </c>
      <c r="AN676" s="184" t="s">
        <v>1471</v>
      </c>
      <c r="AO676" s="184">
        <v>12</v>
      </c>
    </row>
    <row r="677" spans="33:41" x14ac:dyDescent="0.25">
      <c r="AG677" s="65"/>
      <c r="AH677" s="65"/>
      <c r="AJ677" s="184" t="s">
        <v>842</v>
      </c>
      <c r="AK677" s="184" t="s">
        <v>156</v>
      </c>
      <c r="AL677" s="184" t="s">
        <v>1430</v>
      </c>
      <c r="AM677" s="184" t="s">
        <v>1471</v>
      </c>
      <c r="AN677" s="184" t="s">
        <v>1471</v>
      </c>
      <c r="AO677" s="184">
        <v>12</v>
      </c>
    </row>
    <row r="678" spans="33:41" x14ac:dyDescent="0.25">
      <c r="AG678" s="65"/>
      <c r="AH678" s="65"/>
      <c r="AJ678" s="184" t="s">
        <v>843</v>
      </c>
      <c r="AK678" s="184" t="s">
        <v>156</v>
      </c>
      <c r="AL678" s="184" t="s">
        <v>1430</v>
      </c>
      <c r="AM678" s="184" t="s">
        <v>1471</v>
      </c>
      <c r="AN678" s="184" t="s">
        <v>1471</v>
      </c>
      <c r="AO678" s="184">
        <v>12</v>
      </c>
    </row>
    <row r="679" spans="33:41" x14ac:dyDescent="0.25">
      <c r="AG679" s="65"/>
      <c r="AH679" s="65"/>
      <c r="AJ679" s="184" t="s">
        <v>844</v>
      </c>
      <c r="AK679" s="184" t="s">
        <v>156</v>
      </c>
      <c r="AL679" s="184" t="s">
        <v>1430</v>
      </c>
      <c r="AM679" s="184" t="s">
        <v>1471</v>
      </c>
      <c r="AN679" s="184" t="s">
        <v>1471</v>
      </c>
      <c r="AO679" s="184">
        <v>12</v>
      </c>
    </row>
    <row r="680" spans="33:41" x14ac:dyDescent="0.25">
      <c r="AG680" s="65"/>
      <c r="AH680" s="65"/>
      <c r="AJ680" s="184" t="s">
        <v>845</v>
      </c>
      <c r="AK680" s="184" t="s">
        <v>156</v>
      </c>
      <c r="AL680" s="184" t="s">
        <v>1430</v>
      </c>
      <c r="AM680" s="184" t="s">
        <v>1471</v>
      </c>
      <c r="AN680" s="184" t="s">
        <v>1471</v>
      </c>
      <c r="AO680" s="184">
        <v>12</v>
      </c>
    </row>
    <row r="681" spans="33:41" x14ac:dyDescent="0.25">
      <c r="AG681" s="65"/>
      <c r="AH681" s="65"/>
      <c r="AJ681" s="184" t="s">
        <v>846</v>
      </c>
      <c r="AK681" s="184" t="s">
        <v>156</v>
      </c>
      <c r="AL681" s="184" t="s">
        <v>1430</v>
      </c>
      <c r="AM681" s="184" t="s">
        <v>1471</v>
      </c>
      <c r="AN681" s="184" t="s">
        <v>1471</v>
      </c>
      <c r="AO681" s="184">
        <v>12</v>
      </c>
    </row>
    <row r="682" spans="33:41" x14ac:dyDescent="0.25">
      <c r="AG682" s="65"/>
      <c r="AH682" s="65"/>
      <c r="AJ682" s="184" t="s">
        <v>847</v>
      </c>
      <c r="AK682" s="184" t="s">
        <v>156</v>
      </c>
      <c r="AL682" s="184" t="s">
        <v>1430</v>
      </c>
      <c r="AM682" s="184" t="s">
        <v>1471</v>
      </c>
      <c r="AN682" s="184" t="s">
        <v>1471</v>
      </c>
      <c r="AO682" s="184">
        <v>12</v>
      </c>
    </row>
    <row r="683" spans="33:41" x14ac:dyDescent="0.25">
      <c r="AG683" s="65"/>
      <c r="AH683" s="65"/>
      <c r="AJ683" s="184" t="s">
        <v>848</v>
      </c>
      <c r="AK683" s="184" t="s">
        <v>156</v>
      </c>
      <c r="AL683" s="184" t="s">
        <v>1430</v>
      </c>
      <c r="AM683" s="184" t="s">
        <v>1471</v>
      </c>
      <c r="AN683" s="184" t="s">
        <v>1471</v>
      </c>
      <c r="AO683" s="184">
        <v>12</v>
      </c>
    </row>
    <row r="684" spans="33:41" x14ac:dyDescent="0.25">
      <c r="AG684" s="65"/>
      <c r="AH684" s="65"/>
      <c r="AJ684" s="184" t="s">
        <v>849</v>
      </c>
      <c r="AK684" s="184" t="s">
        <v>156</v>
      </c>
      <c r="AL684" s="184" t="s">
        <v>1430</v>
      </c>
      <c r="AM684" s="184" t="s">
        <v>1471</v>
      </c>
      <c r="AN684" s="184" t="s">
        <v>1471</v>
      </c>
      <c r="AO684" s="184">
        <v>12</v>
      </c>
    </row>
    <row r="685" spans="33:41" x14ac:dyDescent="0.25">
      <c r="AG685" s="65"/>
      <c r="AH685" s="65"/>
      <c r="AJ685" s="184" t="s">
        <v>850</v>
      </c>
      <c r="AK685" s="184" t="s">
        <v>100</v>
      </c>
      <c r="AL685" s="184" t="s">
        <v>1430</v>
      </c>
      <c r="AM685" s="184" t="s">
        <v>1471</v>
      </c>
      <c r="AN685" s="184" t="s">
        <v>1471</v>
      </c>
      <c r="AO685" s="184">
        <v>12</v>
      </c>
    </row>
    <row r="686" spans="33:41" x14ac:dyDescent="0.25">
      <c r="AG686" s="65"/>
      <c r="AH686" s="65"/>
      <c r="AJ686" s="184" t="s">
        <v>851</v>
      </c>
      <c r="AK686" s="184" t="s">
        <v>100</v>
      </c>
      <c r="AL686" s="184" t="s">
        <v>1430</v>
      </c>
      <c r="AM686" s="184" t="s">
        <v>1471</v>
      </c>
      <c r="AN686" s="184" t="s">
        <v>1471</v>
      </c>
      <c r="AO686" s="184">
        <v>12</v>
      </c>
    </row>
    <row r="687" spans="33:41" x14ac:dyDescent="0.25">
      <c r="AG687" s="65"/>
      <c r="AH687" s="65"/>
      <c r="AJ687" s="184" t="s">
        <v>852</v>
      </c>
      <c r="AK687" s="184" t="s">
        <v>100</v>
      </c>
      <c r="AL687" s="184" t="s">
        <v>1430</v>
      </c>
      <c r="AM687" s="184" t="s">
        <v>1471</v>
      </c>
      <c r="AN687" s="184" t="s">
        <v>1471</v>
      </c>
      <c r="AO687" s="184">
        <v>12</v>
      </c>
    </row>
    <row r="688" spans="33:41" x14ac:dyDescent="0.25">
      <c r="AG688" s="65"/>
      <c r="AH688" s="65"/>
      <c r="AJ688" s="184" t="s">
        <v>853</v>
      </c>
      <c r="AK688" s="184" t="s">
        <v>100</v>
      </c>
      <c r="AL688" s="184" t="s">
        <v>1430</v>
      </c>
      <c r="AM688" s="184" t="s">
        <v>1471</v>
      </c>
      <c r="AN688" s="184" t="s">
        <v>1471</v>
      </c>
      <c r="AO688" s="184">
        <v>12</v>
      </c>
    </row>
    <row r="689" spans="33:41" x14ac:dyDescent="0.25">
      <c r="AG689" s="65"/>
      <c r="AH689" s="65"/>
      <c r="AJ689" s="184" t="s">
        <v>854</v>
      </c>
      <c r="AK689" s="184" t="s">
        <v>100</v>
      </c>
      <c r="AL689" s="184" t="s">
        <v>1430</v>
      </c>
      <c r="AM689" s="184" t="s">
        <v>1471</v>
      </c>
      <c r="AN689" s="184" t="s">
        <v>1471</v>
      </c>
      <c r="AO689" s="184">
        <v>12</v>
      </c>
    </row>
    <row r="690" spans="33:41" x14ac:dyDescent="0.25">
      <c r="AG690" s="65"/>
      <c r="AH690" s="65"/>
      <c r="AJ690" s="184" t="s">
        <v>855</v>
      </c>
      <c r="AK690" s="184" t="s">
        <v>100</v>
      </c>
      <c r="AL690" s="184" t="s">
        <v>1430</v>
      </c>
      <c r="AM690" s="184" t="s">
        <v>1471</v>
      </c>
      <c r="AN690" s="184" t="s">
        <v>1471</v>
      </c>
      <c r="AO690" s="184">
        <v>12</v>
      </c>
    </row>
    <row r="691" spans="33:41" x14ac:dyDescent="0.25">
      <c r="AG691" s="65"/>
      <c r="AH691" s="65"/>
      <c r="AJ691" s="184" t="s">
        <v>856</v>
      </c>
      <c r="AK691" s="184" t="s">
        <v>100</v>
      </c>
      <c r="AL691" s="184" t="s">
        <v>1430</v>
      </c>
      <c r="AM691" s="184" t="s">
        <v>1471</v>
      </c>
      <c r="AN691" s="184" t="s">
        <v>1471</v>
      </c>
      <c r="AO691" s="184">
        <v>12</v>
      </c>
    </row>
    <row r="692" spans="33:41" x14ac:dyDescent="0.25">
      <c r="AG692" s="65"/>
      <c r="AH692" s="65"/>
      <c r="AJ692" s="184" t="s">
        <v>857</v>
      </c>
      <c r="AK692" s="184" t="s">
        <v>100</v>
      </c>
      <c r="AL692" s="184" t="s">
        <v>1430</v>
      </c>
      <c r="AM692" s="184" t="s">
        <v>1471</v>
      </c>
      <c r="AN692" s="184" t="s">
        <v>1471</v>
      </c>
      <c r="AO692" s="184">
        <v>12</v>
      </c>
    </row>
    <row r="693" spans="33:41" x14ac:dyDescent="0.25">
      <c r="AG693" s="65"/>
      <c r="AH693" s="65"/>
      <c r="AJ693" s="184" t="s">
        <v>858</v>
      </c>
      <c r="AK693" s="184" t="s">
        <v>100</v>
      </c>
      <c r="AL693" s="184" t="s">
        <v>1430</v>
      </c>
      <c r="AM693" s="184" t="s">
        <v>1471</v>
      </c>
      <c r="AN693" s="184" t="s">
        <v>1471</v>
      </c>
      <c r="AO693" s="184">
        <v>12</v>
      </c>
    </row>
    <row r="694" spans="33:41" x14ac:dyDescent="0.25">
      <c r="AG694" s="65"/>
      <c r="AH694" s="65"/>
      <c r="AJ694" s="184" t="s">
        <v>859</v>
      </c>
      <c r="AK694" s="184" t="s">
        <v>100</v>
      </c>
      <c r="AL694" s="184" t="s">
        <v>1430</v>
      </c>
      <c r="AM694" s="184" t="s">
        <v>1471</v>
      </c>
      <c r="AN694" s="184" t="s">
        <v>1471</v>
      </c>
      <c r="AO694" s="184">
        <v>12</v>
      </c>
    </row>
    <row r="695" spans="33:41" x14ac:dyDescent="0.25">
      <c r="AG695" s="65"/>
      <c r="AH695" s="65"/>
      <c r="AJ695" s="184" t="s">
        <v>860</v>
      </c>
      <c r="AK695" s="184" t="s">
        <v>100</v>
      </c>
      <c r="AL695" s="184" t="s">
        <v>1430</v>
      </c>
      <c r="AM695" s="184" t="s">
        <v>1471</v>
      </c>
      <c r="AN695" s="184" t="s">
        <v>1471</v>
      </c>
      <c r="AO695" s="184">
        <v>12</v>
      </c>
    </row>
    <row r="696" spans="33:41" x14ac:dyDescent="0.25">
      <c r="AG696" s="65"/>
      <c r="AH696" s="65"/>
      <c r="AJ696" s="184" t="s">
        <v>861</v>
      </c>
      <c r="AK696" s="184" t="s">
        <v>100</v>
      </c>
      <c r="AL696" s="184" t="s">
        <v>1430</v>
      </c>
      <c r="AM696" s="184" t="s">
        <v>1471</v>
      </c>
      <c r="AN696" s="184" t="s">
        <v>1471</v>
      </c>
      <c r="AO696" s="184">
        <v>12</v>
      </c>
    </row>
    <row r="697" spans="33:41" x14ac:dyDescent="0.25">
      <c r="AG697" s="65"/>
      <c r="AH697" s="65"/>
      <c r="AJ697" s="184" t="s">
        <v>862</v>
      </c>
      <c r="AK697" s="184" t="s">
        <v>100</v>
      </c>
      <c r="AL697" s="184" t="s">
        <v>1430</v>
      </c>
      <c r="AM697" s="184" t="s">
        <v>1471</v>
      </c>
      <c r="AN697" s="184" t="s">
        <v>1471</v>
      </c>
      <c r="AO697" s="184">
        <v>12</v>
      </c>
    </row>
    <row r="698" spans="33:41" x14ac:dyDescent="0.25">
      <c r="AG698" s="65"/>
      <c r="AH698" s="65"/>
      <c r="AJ698" s="184" t="s">
        <v>863</v>
      </c>
      <c r="AK698" s="184" t="s">
        <v>100</v>
      </c>
      <c r="AL698" s="184" t="s">
        <v>1430</v>
      </c>
      <c r="AM698" s="184" t="s">
        <v>1471</v>
      </c>
      <c r="AN698" s="184" t="s">
        <v>1471</v>
      </c>
      <c r="AO698" s="184">
        <v>12</v>
      </c>
    </row>
    <row r="699" spans="33:41" x14ac:dyDescent="0.25">
      <c r="AG699" s="65"/>
      <c r="AH699" s="65"/>
      <c r="AJ699" s="184" t="s">
        <v>864</v>
      </c>
      <c r="AK699" s="184" t="s">
        <v>100</v>
      </c>
      <c r="AL699" s="184" t="s">
        <v>1430</v>
      </c>
      <c r="AM699" s="184" t="s">
        <v>1471</v>
      </c>
      <c r="AN699" s="184" t="s">
        <v>1471</v>
      </c>
      <c r="AO699" s="184">
        <v>12</v>
      </c>
    </row>
    <row r="700" spans="33:41" x14ac:dyDescent="0.25">
      <c r="AG700" s="65"/>
      <c r="AH700" s="65"/>
      <c r="AJ700" s="184" t="s">
        <v>865</v>
      </c>
      <c r="AK700" s="184" t="s">
        <v>100</v>
      </c>
      <c r="AL700" s="184" t="s">
        <v>1430</v>
      </c>
      <c r="AM700" s="184" t="s">
        <v>1471</v>
      </c>
      <c r="AN700" s="184" t="s">
        <v>1471</v>
      </c>
      <c r="AO700" s="184">
        <v>12</v>
      </c>
    </row>
    <row r="701" spans="33:41" x14ac:dyDescent="0.25">
      <c r="AG701" s="65"/>
      <c r="AH701" s="65"/>
      <c r="AJ701" s="184" t="s">
        <v>866</v>
      </c>
      <c r="AK701" s="184" t="s">
        <v>100</v>
      </c>
      <c r="AL701" s="184" t="s">
        <v>1430</v>
      </c>
      <c r="AM701" s="184" t="s">
        <v>1471</v>
      </c>
      <c r="AN701" s="184" t="s">
        <v>1471</v>
      </c>
      <c r="AO701" s="184">
        <v>12</v>
      </c>
    </row>
    <row r="702" spans="33:41" x14ac:dyDescent="0.25">
      <c r="AG702" s="65"/>
      <c r="AH702" s="65"/>
      <c r="AJ702" s="184" t="s">
        <v>867</v>
      </c>
      <c r="AK702" s="184" t="s">
        <v>100</v>
      </c>
      <c r="AL702" s="184" t="s">
        <v>1430</v>
      </c>
      <c r="AM702" s="184" t="s">
        <v>1471</v>
      </c>
      <c r="AN702" s="184" t="s">
        <v>1471</v>
      </c>
      <c r="AO702" s="184">
        <v>12</v>
      </c>
    </row>
    <row r="703" spans="33:41" x14ac:dyDescent="0.25">
      <c r="AG703" s="65"/>
      <c r="AH703" s="65"/>
      <c r="AJ703" s="184" t="s">
        <v>868</v>
      </c>
      <c r="AK703" s="184" t="s">
        <v>100</v>
      </c>
      <c r="AL703" s="184" t="s">
        <v>1430</v>
      </c>
      <c r="AM703" s="184" t="s">
        <v>1471</v>
      </c>
      <c r="AN703" s="184" t="s">
        <v>1471</v>
      </c>
      <c r="AO703" s="184">
        <v>12</v>
      </c>
    </row>
    <row r="704" spans="33:41" x14ac:dyDescent="0.25">
      <c r="AG704" s="65"/>
      <c r="AH704" s="65"/>
      <c r="AJ704" s="184" t="s">
        <v>869</v>
      </c>
      <c r="AK704" s="184" t="s">
        <v>100</v>
      </c>
      <c r="AL704" s="184" t="s">
        <v>1430</v>
      </c>
      <c r="AM704" s="184" t="s">
        <v>1471</v>
      </c>
      <c r="AN704" s="184" t="s">
        <v>1471</v>
      </c>
      <c r="AO704" s="184">
        <v>12</v>
      </c>
    </row>
    <row r="705" spans="33:41" x14ac:dyDescent="0.25">
      <c r="AG705" s="65"/>
      <c r="AH705" s="65"/>
      <c r="AJ705" s="184" t="s">
        <v>870</v>
      </c>
      <c r="AK705" s="184" t="s">
        <v>100</v>
      </c>
      <c r="AL705" s="184" t="s">
        <v>1430</v>
      </c>
      <c r="AM705" s="184" t="s">
        <v>1471</v>
      </c>
      <c r="AN705" s="184" t="s">
        <v>1471</v>
      </c>
      <c r="AO705" s="184">
        <v>12</v>
      </c>
    </row>
    <row r="706" spans="33:41" x14ac:dyDescent="0.25">
      <c r="AG706" s="65"/>
      <c r="AH706" s="65"/>
      <c r="AJ706" s="184" t="s">
        <v>871</v>
      </c>
      <c r="AK706" s="184" t="s">
        <v>100</v>
      </c>
      <c r="AL706" s="184" t="s">
        <v>1430</v>
      </c>
      <c r="AM706" s="184" t="s">
        <v>1471</v>
      </c>
      <c r="AN706" s="184" t="s">
        <v>1471</v>
      </c>
      <c r="AO706" s="184">
        <v>12</v>
      </c>
    </row>
    <row r="707" spans="33:41" x14ac:dyDescent="0.25">
      <c r="AG707" s="65"/>
      <c r="AH707" s="65"/>
      <c r="AJ707" s="184" t="s">
        <v>872</v>
      </c>
      <c r="AK707" s="184" t="s">
        <v>100</v>
      </c>
      <c r="AL707" s="184" t="s">
        <v>1430</v>
      </c>
      <c r="AM707" s="184" t="s">
        <v>1471</v>
      </c>
      <c r="AN707" s="184" t="s">
        <v>1471</v>
      </c>
      <c r="AO707" s="184">
        <v>12</v>
      </c>
    </row>
    <row r="708" spans="33:41" x14ac:dyDescent="0.25">
      <c r="AG708" s="65"/>
      <c r="AH708" s="65"/>
      <c r="AJ708" s="184" t="s">
        <v>873</v>
      </c>
      <c r="AK708" s="184" t="s">
        <v>100</v>
      </c>
      <c r="AL708" s="184" t="s">
        <v>1430</v>
      </c>
      <c r="AM708" s="184" t="s">
        <v>1471</v>
      </c>
      <c r="AN708" s="184" t="s">
        <v>1471</v>
      </c>
      <c r="AO708" s="184">
        <v>12</v>
      </c>
    </row>
    <row r="709" spans="33:41" x14ac:dyDescent="0.25">
      <c r="AG709" s="65"/>
      <c r="AH709" s="65"/>
      <c r="AJ709" s="184" t="s">
        <v>874</v>
      </c>
      <c r="AK709" s="184" t="s">
        <v>100</v>
      </c>
      <c r="AL709" s="184" t="s">
        <v>1430</v>
      </c>
      <c r="AM709" s="184" t="s">
        <v>1471</v>
      </c>
      <c r="AN709" s="184" t="s">
        <v>1471</v>
      </c>
      <c r="AO709" s="184">
        <v>12</v>
      </c>
    </row>
    <row r="710" spans="33:41" x14ac:dyDescent="0.25">
      <c r="AG710" s="65"/>
      <c r="AH710" s="65"/>
      <c r="AJ710" s="184" t="s">
        <v>875</v>
      </c>
      <c r="AK710" s="184" t="s">
        <v>100</v>
      </c>
      <c r="AL710" s="184" t="s">
        <v>1430</v>
      </c>
      <c r="AM710" s="184" t="s">
        <v>1471</v>
      </c>
      <c r="AN710" s="184" t="s">
        <v>1471</v>
      </c>
      <c r="AO710" s="184">
        <v>12</v>
      </c>
    </row>
    <row r="711" spans="33:41" x14ac:dyDescent="0.25">
      <c r="AG711" s="65"/>
      <c r="AH711" s="65"/>
      <c r="AJ711" s="184" t="s">
        <v>876</v>
      </c>
      <c r="AK711" s="184" t="s">
        <v>100</v>
      </c>
      <c r="AL711" s="184" t="s">
        <v>1430</v>
      </c>
      <c r="AM711" s="184" t="s">
        <v>1471</v>
      </c>
      <c r="AN711" s="184" t="s">
        <v>1471</v>
      </c>
      <c r="AO711" s="184">
        <v>12</v>
      </c>
    </row>
    <row r="712" spans="33:41" x14ac:dyDescent="0.25">
      <c r="AG712" s="65"/>
      <c r="AH712" s="65"/>
      <c r="AJ712" s="184" t="s">
        <v>877</v>
      </c>
      <c r="AK712" s="184" t="s">
        <v>100</v>
      </c>
      <c r="AL712" s="184" t="s">
        <v>1430</v>
      </c>
      <c r="AM712" s="184" t="s">
        <v>1471</v>
      </c>
      <c r="AN712" s="184" t="s">
        <v>1471</v>
      </c>
      <c r="AO712" s="184">
        <v>12</v>
      </c>
    </row>
    <row r="713" spans="33:41" x14ac:dyDescent="0.25">
      <c r="AG713" s="65"/>
      <c r="AH713" s="65"/>
      <c r="AJ713" s="184" t="s">
        <v>878</v>
      </c>
      <c r="AK713" s="184" t="s">
        <v>100</v>
      </c>
      <c r="AL713" s="184" t="s">
        <v>1430</v>
      </c>
      <c r="AM713" s="184" t="s">
        <v>1471</v>
      </c>
      <c r="AN713" s="184" t="s">
        <v>1471</v>
      </c>
      <c r="AO713" s="184">
        <v>12</v>
      </c>
    </row>
    <row r="714" spans="33:41" x14ac:dyDescent="0.25">
      <c r="AG714" s="65"/>
      <c r="AH714" s="65"/>
      <c r="AJ714" s="184" t="s">
        <v>879</v>
      </c>
      <c r="AK714" s="184" t="s">
        <v>100</v>
      </c>
      <c r="AL714" s="184" t="s">
        <v>1430</v>
      </c>
      <c r="AM714" s="184" t="s">
        <v>1471</v>
      </c>
      <c r="AN714" s="184" t="s">
        <v>1471</v>
      </c>
      <c r="AO714" s="184">
        <v>12</v>
      </c>
    </row>
    <row r="715" spans="33:41" x14ac:dyDescent="0.25">
      <c r="AG715" s="65"/>
      <c r="AH715" s="65"/>
      <c r="AJ715" s="184" t="s">
        <v>880</v>
      </c>
      <c r="AK715" s="184" t="s">
        <v>100</v>
      </c>
      <c r="AL715" s="184" t="s">
        <v>1430</v>
      </c>
      <c r="AM715" s="184" t="s">
        <v>1471</v>
      </c>
      <c r="AN715" s="184" t="s">
        <v>1471</v>
      </c>
      <c r="AO715" s="184">
        <v>12</v>
      </c>
    </row>
    <row r="716" spans="33:41" x14ac:dyDescent="0.25">
      <c r="AG716" s="65"/>
      <c r="AH716" s="65"/>
      <c r="AJ716" s="184" t="s">
        <v>881</v>
      </c>
      <c r="AK716" s="184" t="s">
        <v>100</v>
      </c>
      <c r="AL716" s="184" t="s">
        <v>1430</v>
      </c>
      <c r="AM716" s="184" t="s">
        <v>1471</v>
      </c>
      <c r="AN716" s="184" t="s">
        <v>1471</v>
      </c>
      <c r="AO716" s="184">
        <v>12</v>
      </c>
    </row>
    <row r="717" spans="33:41" x14ac:dyDescent="0.25">
      <c r="AG717" s="65"/>
      <c r="AH717" s="65"/>
      <c r="AJ717" s="184" t="s">
        <v>882</v>
      </c>
      <c r="AK717" s="184" t="s">
        <v>100</v>
      </c>
      <c r="AL717" s="184" t="s">
        <v>1430</v>
      </c>
      <c r="AM717" s="184" t="s">
        <v>1471</v>
      </c>
      <c r="AN717" s="184" t="s">
        <v>1471</v>
      </c>
      <c r="AO717" s="184">
        <v>12</v>
      </c>
    </row>
    <row r="718" spans="33:41" x14ac:dyDescent="0.25">
      <c r="AG718" s="65"/>
      <c r="AH718" s="65"/>
      <c r="AJ718" s="184" t="s">
        <v>883</v>
      </c>
      <c r="AK718" s="184" t="s">
        <v>100</v>
      </c>
      <c r="AL718" s="184" t="s">
        <v>1430</v>
      </c>
      <c r="AM718" s="184" t="s">
        <v>1471</v>
      </c>
      <c r="AN718" s="184" t="s">
        <v>1471</v>
      </c>
      <c r="AO718" s="184">
        <v>12</v>
      </c>
    </row>
    <row r="719" spans="33:41" x14ac:dyDescent="0.25">
      <c r="AG719" s="65"/>
      <c r="AH719" s="65"/>
      <c r="AJ719" s="184" t="s">
        <v>884</v>
      </c>
      <c r="AK719" s="184" t="s">
        <v>100</v>
      </c>
      <c r="AL719" s="184" t="s">
        <v>1430</v>
      </c>
      <c r="AM719" s="184" t="s">
        <v>1471</v>
      </c>
      <c r="AN719" s="184" t="s">
        <v>1471</v>
      </c>
      <c r="AO719" s="184">
        <v>12</v>
      </c>
    </row>
    <row r="720" spans="33:41" x14ac:dyDescent="0.25">
      <c r="AG720" s="65"/>
      <c r="AH720" s="65"/>
      <c r="AJ720" s="184" t="s">
        <v>885</v>
      </c>
      <c r="AK720" s="184" t="s">
        <v>156</v>
      </c>
      <c r="AL720" s="184" t="s">
        <v>1430</v>
      </c>
      <c r="AM720" s="184" t="s">
        <v>1471</v>
      </c>
      <c r="AN720" s="184" t="s">
        <v>1471</v>
      </c>
      <c r="AO720" s="184">
        <v>12</v>
      </c>
    </row>
    <row r="721" spans="33:41" x14ac:dyDescent="0.25">
      <c r="AG721" s="65"/>
      <c r="AH721" s="65"/>
      <c r="AJ721" s="184" t="s">
        <v>886</v>
      </c>
      <c r="AK721" s="184" t="s">
        <v>100</v>
      </c>
      <c r="AL721" s="184" t="s">
        <v>1430</v>
      </c>
      <c r="AM721" s="184" t="s">
        <v>1507</v>
      </c>
      <c r="AN721" s="184" t="s">
        <v>1542</v>
      </c>
      <c r="AO721" s="184">
        <v>12</v>
      </c>
    </row>
    <row r="722" spans="33:41" x14ac:dyDescent="0.25">
      <c r="AG722" s="65"/>
      <c r="AH722" s="65"/>
      <c r="AJ722" s="184" t="s">
        <v>887</v>
      </c>
      <c r="AK722" s="184" t="s">
        <v>100</v>
      </c>
      <c r="AL722" s="184" t="s">
        <v>1430</v>
      </c>
      <c r="AM722" s="184" t="s">
        <v>1507</v>
      </c>
      <c r="AN722" s="184" t="s">
        <v>1542</v>
      </c>
      <c r="AO722" s="184">
        <v>12</v>
      </c>
    </row>
    <row r="723" spans="33:41" x14ac:dyDescent="0.25">
      <c r="AG723" s="65"/>
      <c r="AH723" s="65"/>
      <c r="AJ723" s="184" t="s">
        <v>888</v>
      </c>
      <c r="AK723" s="184" t="s">
        <v>100</v>
      </c>
      <c r="AL723" s="184" t="s">
        <v>1430</v>
      </c>
      <c r="AM723" s="184" t="s">
        <v>1507</v>
      </c>
      <c r="AN723" s="184" t="s">
        <v>1542</v>
      </c>
      <c r="AO723" s="184">
        <v>12</v>
      </c>
    </row>
    <row r="724" spans="33:41" x14ac:dyDescent="0.25">
      <c r="AG724" s="65"/>
      <c r="AH724" s="65"/>
      <c r="AJ724" s="184" t="s">
        <v>889</v>
      </c>
      <c r="AK724" s="184" t="s">
        <v>100</v>
      </c>
      <c r="AL724" s="184" t="s">
        <v>1430</v>
      </c>
      <c r="AM724" s="184" t="s">
        <v>1507</v>
      </c>
      <c r="AN724" s="184" t="s">
        <v>1542</v>
      </c>
      <c r="AO724" s="184">
        <v>12</v>
      </c>
    </row>
    <row r="725" spans="33:41" x14ac:dyDescent="0.25">
      <c r="AG725" s="65"/>
      <c r="AH725" s="65"/>
      <c r="AJ725" s="184" t="s">
        <v>890</v>
      </c>
      <c r="AK725" s="184" t="s">
        <v>100</v>
      </c>
      <c r="AL725" s="184" t="s">
        <v>1430</v>
      </c>
      <c r="AM725" s="184" t="s">
        <v>1507</v>
      </c>
      <c r="AN725" s="184" t="s">
        <v>1542</v>
      </c>
      <c r="AO725" s="184">
        <v>12</v>
      </c>
    </row>
    <row r="726" spans="33:41" x14ac:dyDescent="0.25">
      <c r="AG726" s="65"/>
      <c r="AH726" s="65"/>
      <c r="AJ726" s="184" t="s">
        <v>891</v>
      </c>
      <c r="AK726" s="184" t="s">
        <v>100</v>
      </c>
      <c r="AL726" s="184" t="s">
        <v>1430</v>
      </c>
      <c r="AM726" s="184" t="s">
        <v>1507</v>
      </c>
      <c r="AN726" s="184" t="s">
        <v>1542</v>
      </c>
      <c r="AO726" s="184">
        <v>12</v>
      </c>
    </row>
    <row r="727" spans="33:41" x14ac:dyDescent="0.25">
      <c r="AG727" s="65"/>
      <c r="AH727" s="65"/>
      <c r="AJ727" s="184" t="s">
        <v>892</v>
      </c>
      <c r="AK727" s="184" t="s">
        <v>100</v>
      </c>
      <c r="AL727" s="184" t="s">
        <v>1430</v>
      </c>
      <c r="AM727" s="184" t="s">
        <v>1507</v>
      </c>
      <c r="AN727" s="184" t="s">
        <v>1542</v>
      </c>
      <c r="AO727" s="184">
        <v>12</v>
      </c>
    </row>
    <row r="728" spans="33:41" x14ac:dyDescent="0.25">
      <c r="AG728" s="65"/>
      <c r="AH728" s="65"/>
      <c r="AJ728" s="184" t="s">
        <v>893</v>
      </c>
      <c r="AK728" s="184" t="s">
        <v>100</v>
      </c>
      <c r="AL728" s="184" t="s">
        <v>1430</v>
      </c>
      <c r="AM728" s="184" t="s">
        <v>1507</v>
      </c>
      <c r="AN728" s="184" t="s">
        <v>1542</v>
      </c>
      <c r="AO728" s="184">
        <v>12</v>
      </c>
    </row>
    <row r="729" spans="33:41" x14ac:dyDescent="0.25">
      <c r="AG729" s="65"/>
      <c r="AH729" s="65"/>
      <c r="AJ729" s="184" t="s">
        <v>894</v>
      </c>
      <c r="AK729" s="184" t="s">
        <v>100</v>
      </c>
      <c r="AL729" s="184" t="s">
        <v>1430</v>
      </c>
      <c r="AM729" s="184" t="s">
        <v>1507</v>
      </c>
      <c r="AN729" s="184" t="s">
        <v>1542</v>
      </c>
      <c r="AO729" s="184">
        <v>12</v>
      </c>
    </row>
    <row r="730" spans="33:41" x14ac:dyDescent="0.25">
      <c r="AG730" s="65"/>
      <c r="AH730" s="65"/>
      <c r="AJ730" s="184" t="s">
        <v>895</v>
      </c>
      <c r="AK730" s="184" t="s">
        <v>100</v>
      </c>
      <c r="AL730" s="184" t="s">
        <v>1430</v>
      </c>
      <c r="AM730" s="184" t="s">
        <v>1507</v>
      </c>
      <c r="AN730" s="184" t="s">
        <v>1542</v>
      </c>
      <c r="AO730" s="184">
        <v>12</v>
      </c>
    </row>
    <row r="731" spans="33:41" x14ac:dyDescent="0.25">
      <c r="AG731" s="65"/>
      <c r="AH731" s="65"/>
      <c r="AJ731" s="184" t="s">
        <v>896</v>
      </c>
      <c r="AK731" s="184" t="s">
        <v>100</v>
      </c>
      <c r="AL731" s="184" t="s">
        <v>1430</v>
      </c>
      <c r="AM731" s="184" t="s">
        <v>1507</v>
      </c>
      <c r="AN731" s="184" t="s">
        <v>1542</v>
      </c>
      <c r="AO731" s="184">
        <v>12</v>
      </c>
    </row>
    <row r="732" spans="33:41" x14ac:dyDescent="0.25">
      <c r="AG732" s="65"/>
      <c r="AH732" s="65"/>
      <c r="AJ732" s="184" t="s">
        <v>897</v>
      </c>
      <c r="AK732" s="184" t="s">
        <v>100</v>
      </c>
      <c r="AL732" s="184" t="s">
        <v>1430</v>
      </c>
      <c r="AM732" s="184" t="s">
        <v>1507</v>
      </c>
      <c r="AN732" s="184" t="s">
        <v>1542</v>
      </c>
      <c r="AO732" s="184">
        <v>12</v>
      </c>
    </row>
    <row r="733" spans="33:41" x14ac:dyDescent="0.25">
      <c r="AG733" s="65"/>
      <c r="AH733" s="65"/>
      <c r="AJ733" s="184" t="s">
        <v>898</v>
      </c>
      <c r="AK733" s="184" t="s">
        <v>100</v>
      </c>
      <c r="AL733" s="184" t="s">
        <v>1430</v>
      </c>
      <c r="AM733" s="184" t="s">
        <v>1507</v>
      </c>
      <c r="AN733" s="184" t="s">
        <v>1542</v>
      </c>
      <c r="AO733" s="184">
        <v>12</v>
      </c>
    </row>
    <row r="734" spans="33:41" x14ac:dyDescent="0.25">
      <c r="AG734" s="65"/>
      <c r="AH734" s="65"/>
      <c r="AJ734" s="184" t="s">
        <v>899</v>
      </c>
      <c r="AK734" s="184" t="s">
        <v>100</v>
      </c>
      <c r="AL734" s="184" t="s">
        <v>1430</v>
      </c>
      <c r="AM734" s="184" t="s">
        <v>1507</v>
      </c>
      <c r="AN734" s="184" t="s">
        <v>1542</v>
      </c>
      <c r="AO734" s="184">
        <v>12</v>
      </c>
    </row>
    <row r="735" spans="33:41" x14ac:dyDescent="0.25">
      <c r="AG735" s="65"/>
      <c r="AH735" s="65"/>
      <c r="AJ735" s="184" t="s">
        <v>900</v>
      </c>
      <c r="AK735" s="184" t="s">
        <v>100</v>
      </c>
      <c r="AL735" s="184" t="s">
        <v>1430</v>
      </c>
      <c r="AM735" s="184" t="s">
        <v>1507</v>
      </c>
      <c r="AN735" s="184" t="s">
        <v>1542</v>
      </c>
      <c r="AO735" s="184">
        <v>12</v>
      </c>
    </row>
    <row r="736" spans="33:41" x14ac:dyDescent="0.25">
      <c r="AG736" s="65"/>
      <c r="AH736" s="65"/>
      <c r="AJ736" s="184" t="s">
        <v>901</v>
      </c>
      <c r="AK736" s="184" t="s">
        <v>100</v>
      </c>
      <c r="AL736" s="184" t="s">
        <v>1430</v>
      </c>
      <c r="AM736" s="184" t="s">
        <v>1507</v>
      </c>
      <c r="AN736" s="184" t="s">
        <v>1542</v>
      </c>
      <c r="AO736" s="184">
        <v>12</v>
      </c>
    </row>
    <row r="737" spans="33:41" x14ac:dyDescent="0.25">
      <c r="AG737" s="65"/>
      <c r="AH737" s="65"/>
      <c r="AJ737" s="184" t="s">
        <v>902</v>
      </c>
      <c r="AK737" s="184" t="s">
        <v>100</v>
      </c>
      <c r="AL737" s="184" t="s">
        <v>1430</v>
      </c>
      <c r="AM737" s="184" t="s">
        <v>1507</v>
      </c>
      <c r="AN737" s="184" t="s">
        <v>1542</v>
      </c>
      <c r="AO737" s="184">
        <v>12</v>
      </c>
    </row>
    <row r="738" spans="33:41" x14ac:dyDescent="0.25">
      <c r="AG738" s="65"/>
      <c r="AH738" s="65"/>
      <c r="AJ738" s="184" t="s">
        <v>903</v>
      </c>
      <c r="AK738" s="184" t="s">
        <v>100</v>
      </c>
      <c r="AL738" s="184" t="s">
        <v>1430</v>
      </c>
      <c r="AM738" s="184" t="s">
        <v>1507</v>
      </c>
      <c r="AN738" s="184" t="s">
        <v>1542</v>
      </c>
      <c r="AO738" s="184">
        <v>12</v>
      </c>
    </row>
    <row r="739" spans="33:41" x14ac:dyDescent="0.25">
      <c r="AG739" s="65"/>
      <c r="AH739" s="65"/>
      <c r="AJ739" s="184" t="s">
        <v>904</v>
      </c>
      <c r="AK739" s="184" t="s">
        <v>100</v>
      </c>
      <c r="AL739" s="184" t="s">
        <v>1430</v>
      </c>
      <c r="AM739" s="184" t="s">
        <v>1507</v>
      </c>
      <c r="AN739" s="184" t="s">
        <v>1542</v>
      </c>
      <c r="AO739" s="184">
        <v>12</v>
      </c>
    </row>
    <row r="740" spans="33:41" x14ac:dyDescent="0.25">
      <c r="AG740" s="65"/>
      <c r="AH740" s="65"/>
      <c r="AJ740" s="184" t="s">
        <v>905</v>
      </c>
      <c r="AK740" s="184" t="s">
        <v>100</v>
      </c>
      <c r="AL740" s="184" t="s">
        <v>1430</v>
      </c>
      <c r="AM740" s="184" t="s">
        <v>1507</v>
      </c>
      <c r="AN740" s="184" t="s">
        <v>1542</v>
      </c>
      <c r="AO740" s="184">
        <v>12</v>
      </c>
    </row>
    <row r="741" spans="33:41" x14ac:dyDescent="0.25">
      <c r="AG741" s="65"/>
      <c r="AH741" s="65"/>
      <c r="AJ741" s="184" t="s">
        <v>906</v>
      </c>
      <c r="AK741" s="184" t="s">
        <v>100</v>
      </c>
      <c r="AL741" s="184" t="s">
        <v>1430</v>
      </c>
      <c r="AM741" s="184" t="s">
        <v>1507</v>
      </c>
      <c r="AN741" s="184" t="s">
        <v>1542</v>
      </c>
      <c r="AO741" s="184">
        <v>12</v>
      </c>
    </row>
    <row r="742" spans="33:41" x14ac:dyDescent="0.25">
      <c r="AG742" s="65"/>
      <c r="AH742" s="65"/>
      <c r="AJ742" s="184" t="s">
        <v>907</v>
      </c>
      <c r="AK742" s="184" t="s">
        <v>100</v>
      </c>
      <c r="AL742" s="184" t="s">
        <v>1430</v>
      </c>
      <c r="AM742" s="184" t="s">
        <v>1507</v>
      </c>
      <c r="AN742" s="184" t="s">
        <v>1542</v>
      </c>
      <c r="AO742" s="184">
        <v>12</v>
      </c>
    </row>
    <row r="743" spans="33:41" x14ac:dyDescent="0.25">
      <c r="AG743" s="65"/>
      <c r="AH743" s="65"/>
      <c r="AJ743" s="184" t="s">
        <v>908</v>
      </c>
      <c r="AK743" s="184" t="s">
        <v>100</v>
      </c>
      <c r="AL743" s="184" t="s">
        <v>1430</v>
      </c>
      <c r="AM743" s="184" t="s">
        <v>1507</v>
      </c>
      <c r="AN743" s="184" t="s">
        <v>1542</v>
      </c>
      <c r="AO743" s="184">
        <v>12</v>
      </c>
    </row>
    <row r="744" spans="33:41" x14ac:dyDescent="0.25">
      <c r="AG744" s="65"/>
      <c r="AH744" s="65"/>
      <c r="AJ744" s="184" t="s">
        <v>909</v>
      </c>
      <c r="AK744" s="184" t="s">
        <v>100</v>
      </c>
      <c r="AL744" s="184" t="s">
        <v>1430</v>
      </c>
      <c r="AM744" s="184" t="s">
        <v>1507</v>
      </c>
      <c r="AN744" s="184" t="s">
        <v>1542</v>
      </c>
      <c r="AO744" s="184">
        <v>12</v>
      </c>
    </row>
    <row r="745" spans="33:41" x14ac:dyDescent="0.25">
      <c r="AG745" s="65"/>
      <c r="AH745" s="65"/>
      <c r="AJ745" s="184" t="s">
        <v>910</v>
      </c>
      <c r="AK745" s="184" t="s">
        <v>98</v>
      </c>
      <c r="AL745" s="184" t="s">
        <v>1430</v>
      </c>
      <c r="AM745" s="184" t="s">
        <v>1508</v>
      </c>
      <c r="AN745" s="184" t="s">
        <v>99</v>
      </c>
      <c r="AO745" s="184">
        <v>12</v>
      </c>
    </row>
    <row r="746" spans="33:41" x14ac:dyDescent="0.25">
      <c r="AG746" s="65"/>
      <c r="AH746" s="65"/>
      <c r="AJ746" s="184" t="s">
        <v>911</v>
      </c>
      <c r="AK746" s="184" t="s">
        <v>101</v>
      </c>
      <c r="AL746" s="184" t="s">
        <v>1430</v>
      </c>
      <c r="AM746" s="184" t="s">
        <v>1452</v>
      </c>
      <c r="AN746" s="184" t="s">
        <v>137</v>
      </c>
      <c r="AO746" s="184">
        <v>12</v>
      </c>
    </row>
    <row r="747" spans="33:41" x14ac:dyDescent="0.25">
      <c r="AG747" s="65"/>
      <c r="AH747" s="65"/>
      <c r="AJ747" s="184" t="s">
        <v>912</v>
      </c>
      <c r="AK747" s="184" t="s">
        <v>101</v>
      </c>
      <c r="AL747" s="184" t="s">
        <v>1430</v>
      </c>
      <c r="AM747" s="184" t="s">
        <v>1475</v>
      </c>
      <c r="AN747" s="184" t="s">
        <v>1538</v>
      </c>
      <c r="AO747" s="184">
        <v>12</v>
      </c>
    </row>
    <row r="748" spans="33:41" x14ac:dyDescent="0.25">
      <c r="AG748" s="65"/>
      <c r="AH748" s="65"/>
      <c r="AJ748" s="184" t="s">
        <v>913</v>
      </c>
      <c r="AK748" s="184" t="s">
        <v>147</v>
      </c>
      <c r="AL748" s="184" t="s">
        <v>1430</v>
      </c>
      <c r="AM748" s="184" t="s">
        <v>1466</v>
      </c>
      <c r="AN748" s="184" t="s">
        <v>137</v>
      </c>
      <c r="AO748" s="184">
        <v>12</v>
      </c>
    </row>
    <row r="749" spans="33:41" x14ac:dyDescent="0.25">
      <c r="AG749" s="65"/>
      <c r="AH749" s="65"/>
      <c r="AJ749" s="184" t="s">
        <v>914</v>
      </c>
      <c r="AK749" s="184" t="s">
        <v>147</v>
      </c>
      <c r="AL749" s="184" t="s">
        <v>1430</v>
      </c>
      <c r="AM749" s="184" t="s">
        <v>1455</v>
      </c>
      <c r="AN749" s="184" t="s">
        <v>137</v>
      </c>
      <c r="AO749" s="184">
        <v>12</v>
      </c>
    </row>
    <row r="750" spans="33:41" x14ac:dyDescent="0.25">
      <c r="AG750" s="65"/>
      <c r="AH750" s="65"/>
      <c r="AJ750" s="184" t="s">
        <v>915</v>
      </c>
      <c r="AK750" s="184" t="s">
        <v>147</v>
      </c>
      <c r="AL750" s="184" t="s">
        <v>1430</v>
      </c>
      <c r="AM750" s="184" t="s">
        <v>1470</v>
      </c>
      <c r="AN750" s="184" t="s">
        <v>137</v>
      </c>
      <c r="AO750" s="184">
        <v>12</v>
      </c>
    </row>
    <row r="751" spans="33:41" x14ac:dyDescent="0.25">
      <c r="AG751" s="65"/>
      <c r="AH751" s="65"/>
      <c r="AJ751" s="184" t="s">
        <v>916</v>
      </c>
      <c r="AK751" s="184" t="s">
        <v>1410</v>
      </c>
      <c r="AL751" s="184" t="s">
        <v>1430</v>
      </c>
      <c r="AM751" s="184" t="s">
        <v>1452</v>
      </c>
      <c r="AN751" s="184" t="s">
        <v>137</v>
      </c>
      <c r="AO751" s="184">
        <v>12</v>
      </c>
    </row>
    <row r="752" spans="33:41" x14ac:dyDescent="0.25">
      <c r="AG752" s="65"/>
      <c r="AH752" s="65"/>
      <c r="AJ752" s="184" t="s">
        <v>917</v>
      </c>
      <c r="AK752" s="184" t="s">
        <v>1411</v>
      </c>
      <c r="AL752" s="184" t="s">
        <v>1430</v>
      </c>
      <c r="AM752" s="184" t="s">
        <v>1452</v>
      </c>
      <c r="AN752" s="184" t="s">
        <v>137</v>
      </c>
      <c r="AO752" s="184">
        <v>12</v>
      </c>
    </row>
    <row r="753" spans="33:41" x14ac:dyDescent="0.25">
      <c r="AG753" s="65"/>
      <c r="AH753" s="65"/>
      <c r="AJ753" s="184" t="s">
        <v>918</v>
      </c>
      <c r="AK753" s="184" t="s">
        <v>1412</v>
      </c>
      <c r="AL753" s="184" t="s">
        <v>1430</v>
      </c>
      <c r="AM753" s="184" t="s">
        <v>1452</v>
      </c>
      <c r="AN753" s="184" t="s">
        <v>137</v>
      </c>
      <c r="AO753" s="184">
        <v>12</v>
      </c>
    </row>
    <row r="754" spans="33:41" x14ac:dyDescent="0.25">
      <c r="AG754" s="65"/>
      <c r="AH754" s="65"/>
      <c r="AJ754" s="184" t="s">
        <v>919</v>
      </c>
      <c r="AK754" s="184" t="s">
        <v>1401</v>
      </c>
      <c r="AL754" s="184" t="s">
        <v>1430</v>
      </c>
      <c r="AM754" s="184" t="s">
        <v>1444</v>
      </c>
      <c r="AN754" s="184" t="s">
        <v>137</v>
      </c>
      <c r="AO754" s="184">
        <v>12</v>
      </c>
    </row>
    <row r="755" spans="33:41" x14ac:dyDescent="0.25">
      <c r="AG755" s="65"/>
      <c r="AH755" s="65"/>
      <c r="AJ755" s="184" t="s">
        <v>920</v>
      </c>
      <c r="AK755" s="184" t="s">
        <v>1401</v>
      </c>
      <c r="AL755" s="184" t="s">
        <v>1430</v>
      </c>
      <c r="AM755" s="184" t="s">
        <v>1444</v>
      </c>
      <c r="AN755" s="184" t="s">
        <v>137</v>
      </c>
      <c r="AO755" s="184">
        <v>12</v>
      </c>
    </row>
    <row r="756" spans="33:41" x14ac:dyDescent="0.25">
      <c r="AG756" s="65"/>
      <c r="AH756" s="65"/>
      <c r="AJ756" s="184" t="s">
        <v>921</v>
      </c>
      <c r="AK756" s="184" t="s">
        <v>132</v>
      </c>
      <c r="AL756" s="184" t="s">
        <v>1430</v>
      </c>
      <c r="AM756" s="184" t="s">
        <v>1435</v>
      </c>
      <c r="AN756" s="184" t="s">
        <v>1535</v>
      </c>
      <c r="AO756" s="184">
        <v>12</v>
      </c>
    </row>
    <row r="757" spans="33:41" x14ac:dyDescent="0.25">
      <c r="AG757" s="65"/>
      <c r="AH757" s="65"/>
      <c r="AJ757" s="184" t="s">
        <v>922</v>
      </c>
      <c r="AK757" s="184" t="s">
        <v>132</v>
      </c>
      <c r="AL757" s="184" t="s">
        <v>1430</v>
      </c>
      <c r="AM757" s="184" t="s">
        <v>1485</v>
      </c>
      <c r="AN757" s="184" t="s">
        <v>1538</v>
      </c>
      <c r="AO757" s="184">
        <v>12</v>
      </c>
    </row>
    <row r="758" spans="33:41" x14ac:dyDescent="0.25">
      <c r="AG758" s="65"/>
      <c r="AH758" s="65"/>
      <c r="AJ758" s="184" t="s">
        <v>923</v>
      </c>
      <c r="AK758" s="184" t="s">
        <v>132</v>
      </c>
      <c r="AL758" s="184" t="s">
        <v>1430</v>
      </c>
      <c r="AM758" s="184" t="s">
        <v>1435</v>
      </c>
      <c r="AN758" s="184" t="s">
        <v>1535</v>
      </c>
      <c r="AO758" s="184">
        <v>12</v>
      </c>
    </row>
    <row r="759" spans="33:41" x14ac:dyDescent="0.25">
      <c r="AG759" s="65"/>
      <c r="AH759" s="65"/>
      <c r="AJ759" s="184" t="s">
        <v>924</v>
      </c>
      <c r="AK759" s="184" t="s">
        <v>132</v>
      </c>
      <c r="AL759" s="184" t="s">
        <v>1430</v>
      </c>
      <c r="AM759" s="184" t="s">
        <v>1435</v>
      </c>
      <c r="AN759" s="184" t="s">
        <v>1535</v>
      </c>
      <c r="AO759" s="184">
        <v>12</v>
      </c>
    </row>
    <row r="760" spans="33:41" x14ac:dyDescent="0.25">
      <c r="AG760" s="65"/>
      <c r="AH760" s="65"/>
      <c r="AJ760" s="184" t="s">
        <v>925</v>
      </c>
      <c r="AK760" s="184" t="s">
        <v>132</v>
      </c>
      <c r="AL760" s="184" t="s">
        <v>1430</v>
      </c>
      <c r="AM760" s="184" t="s">
        <v>1435</v>
      </c>
      <c r="AN760" s="184" t="s">
        <v>1535</v>
      </c>
      <c r="AO760" s="184">
        <v>12</v>
      </c>
    </row>
    <row r="761" spans="33:41" x14ac:dyDescent="0.25">
      <c r="AG761" s="65"/>
      <c r="AH761" s="65"/>
      <c r="AJ761" s="184" t="s">
        <v>926</v>
      </c>
      <c r="AK761" s="184" t="s">
        <v>132</v>
      </c>
      <c r="AL761" s="184" t="s">
        <v>1430</v>
      </c>
      <c r="AM761" s="184" t="s">
        <v>1435</v>
      </c>
      <c r="AN761" s="184" t="s">
        <v>1535</v>
      </c>
      <c r="AO761" s="184">
        <v>12</v>
      </c>
    </row>
    <row r="762" spans="33:41" x14ac:dyDescent="0.25">
      <c r="AG762" s="65"/>
      <c r="AH762" s="65"/>
      <c r="AJ762" s="184" t="s">
        <v>927</v>
      </c>
      <c r="AK762" s="184" t="s">
        <v>132</v>
      </c>
      <c r="AL762" s="184" t="s">
        <v>1430</v>
      </c>
      <c r="AM762" s="184" t="s">
        <v>1435</v>
      </c>
      <c r="AN762" s="184" t="s">
        <v>1535</v>
      </c>
      <c r="AO762" s="184">
        <v>12</v>
      </c>
    </row>
    <row r="763" spans="33:41" x14ac:dyDescent="0.25">
      <c r="AG763" s="65"/>
      <c r="AH763" s="65"/>
      <c r="AJ763" s="184" t="s">
        <v>928</v>
      </c>
      <c r="AK763" s="184" t="s">
        <v>132</v>
      </c>
      <c r="AL763" s="184" t="s">
        <v>1430</v>
      </c>
      <c r="AM763" s="184" t="s">
        <v>1435</v>
      </c>
      <c r="AN763" s="184" t="s">
        <v>1535</v>
      </c>
      <c r="AO763" s="184">
        <v>12</v>
      </c>
    </row>
    <row r="764" spans="33:41" x14ac:dyDescent="0.25">
      <c r="AG764" s="65"/>
      <c r="AH764" s="65"/>
      <c r="AJ764" s="184" t="s">
        <v>929</v>
      </c>
      <c r="AK764" s="184" t="s">
        <v>132</v>
      </c>
      <c r="AL764" s="184" t="s">
        <v>1430</v>
      </c>
      <c r="AM764" s="184" t="s">
        <v>1435</v>
      </c>
      <c r="AN764" s="184" t="s">
        <v>1535</v>
      </c>
      <c r="AO764" s="184">
        <v>12</v>
      </c>
    </row>
    <row r="765" spans="33:41" x14ac:dyDescent="0.25">
      <c r="AG765" s="65"/>
      <c r="AH765" s="65"/>
      <c r="AJ765" s="184" t="s">
        <v>930</v>
      </c>
      <c r="AK765" s="184" t="s">
        <v>132</v>
      </c>
      <c r="AL765" s="184" t="s">
        <v>1430</v>
      </c>
      <c r="AM765" s="184" t="s">
        <v>1435</v>
      </c>
      <c r="AN765" s="184" t="s">
        <v>1535</v>
      </c>
      <c r="AO765" s="184">
        <v>12</v>
      </c>
    </row>
    <row r="766" spans="33:41" x14ac:dyDescent="0.25">
      <c r="AG766" s="65"/>
      <c r="AH766" s="65"/>
      <c r="AJ766" s="184" t="s">
        <v>931</v>
      </c>
      <c r="AK766" s="184" t="s">
        <v>132</v>
      </c>
      <c r="AL766" s="184" t="s">
        <v>1430</v>
      </c>
      <c r="AM766" s="184" t="s">
        <v>1435</v>
      </c>
      <c r="AN766" s="184" t="s">
        <v>1535</v>
      </c>
      <c r="AO766" s="184">
        <v>12</v>
      </c>
    </row>
    <row r="767" spans="33:41" x14ac:dyDescent="0.25">
      <c r="AG767" s="65"/>
      <c r="AH767" s="65"/>
      <c r="AJ767" s="184" t="s">
        <v>932</v>
      </c>
      <c r="AK767" s="184" t="s">
        <v>132</v>
      </c>
      <c r="AL767" s="184" t="s">
        <v>1430</v>
      </c>
      <c r="AM767" s="184" t="s">
        <v>1435</v>
      </c>
      <c r="AN767" s="184" t="s">
        <v>1535</v>
      </c>
      <c r="AO767" s="184">
        <v>12</v>
      </c>
    </row>
    <row r="768" spans="33:41" x14ac:dyDescent="0.25">
      <c r="AG768" s="65"/>
      <c r="AH768" s="65"/>
      <c r="AJ768" s="184" t="s">
        <v>933</v>
      </c>
      <c r="AK768" s="184" t="s">
        <v>132</v>
      </c>
      <c r="AL768" s="184" t="s">
        <v>1430</v>
      </c>
      <c r="AM768" s="184" t="s">
        <v>1435</v>
      </c>
      <c r="AN768" s="184" t="s">
        <v>1535</v>
      </c>
      <c r="AO768" s="184">
        <v>12</v>
      </c>
    </row>
    <row r="769" spans="33:41" x14ac:dyDescent="0.25">
      <c r="AG769" s="65"/>
      <c r="AH769" s="65"/>
      <c r="AJ769" s="184" t="s">
        <v>934</v>
      </c>
      <c r="AK769" s="184" t="s">
        <v>132</v>
      </c>
      <c r="AL769" s="184" t="s">
        <v>1430</v>
      </c>
      <c r="AM769" s="184" t="s">
        <v>1435</v>
      </c>
      <c r="AN769" s="184" t="s">
        <v>1535</v>
      </c>
      <c r="AO769" s="184">
        <v>12</v>
      </c>
    </row>
    <row r="770" spans="33:41" x14ac:dyDescent="0.25">
      <c r="AG770" s="65"/>
      <c r="AH770" s="65"/>
      <c r="AJ770" s="184" t="s">
        <v>935</v>
      </c>
      <c r="AK770" s="184" t="s">
        <v>132</v>
      </c>
      <c r="AL770" s="184" t="s">
        <v>1430</v>
      </c>
      <c r="AM770" s="184" t="s">
        <v>1435</v>
      </c>
      <c r="AN770" s="184" t="s">
        <v>1535</v>
      </c>
      <c r="AO770" s="184">
        <v>12</v>
      </c>
    </row>
    <row r="771" spans="33:41" x14ac:dyDescent="0.25">
      <c r="AG771" s="65"/>
      <c r="AH771" s="65"/>
      <c r="AJ771" s="184" t="s">
        <v>936</v>
      </c>
      <c r="AK771" s="184" t="s">
        <v>132</v>
      </c>
      <c r="AL771" s="184" t="s">
        <v>1430</v>
      </c>
      <c r="AM771" s="184" t="s">
        <v>1435</v>
      </c>
      <c r="AN771" s="184" t="s">
        <v>1535</v>
      </c>
      <c r="AO771" s="184">
        <v>12</v>
      </c>
    </row>
    <row r="772" spans="33:41" x14ac:dyDescent="0.25">
      <c r="AG772" s="65"/>
      <c r="AH772" s="65"/>
      <c r="AJ772" s="184" t="s">
        <v>937</v>
      </c>
      <c r="AK772" s="184" t="s">
        <v>132</v>
      </c>
      <c r="AL772" s="184" t="s">
        <v>1430</v>
      </c>
      <c r="AM772" s="184" t="s">
        <v>1435</v>
      </c>
      <c r="AN772" s="184" t="s">
        <v>1535</v>
      </c>
      <c r="AO772" s="184">
        <v>12</v>
      </c>
    </row>
    <row r="773" spans="33:41" x14ac:dyDescent="0.25">
      <c r="AG773" s="65"/>
      <c r="AH773" s="65"/>
      <c r="AJ773" s="184" t="s">
        <v>938</v>
      </c>
      <c r="AK773" s="184" t="s">
        <v>132</v>
      </c>
      <c r="AL773" s="184" t="s">
        <v>1430</v>
      </c>
      <c r="AM773" s="184" t="s">
        <v>1435</v>
      </c>
      <c r="AN773" s="184" t="s">
        <v>1535</v>
      </c>
      <c r="AO773" s="184">
        <v>12</v>
      </c>
    </row>
    <row r="774" spans="33:41" x14ac:dyDescent="0.25">
      <c r="AG774" s="65"/>
      <c r="AH774" s="65"/>
      <c r="AJ774" s="184" t="s">
        <v>939</v>
      </c>
      <c r="AK774" s="184" t="s">
        <v>132</v>
      </c>
      <c r="AL774" s="184" t="s">
        <v>1430</v>
      </c>
      <c r="AM774" s="184" t="s">
        <v>1435</v>
      </c>
      <c r="AN774" s="184" t="s">
        <v>1535</v>
      </c>
      <c r="AO774" s="184">
        <v>12</v>
      </c>
    </row>
    <row r="775" spans="33:41" x14ac:dyDescent="0.25">
      <c r="AG775" s="65"/>
      <c r="AH775" s="65"/>
      <c r="AJ775" s="184" t="s">
        <v>940</v>
      </c>
      <c r="AK775" s="184" t="s">
        <v>132</v>
      </c>
      <c r="AL775" s="184" t="s">
        <v>1430</v>
      </c>
      <c r="AM775" s="184" t="s">
        <v>1435</v>
      </c>
      <c r="AN775" s="184" t="s">
        <v>1535</v>
      </c>
      <c r="AO775" s="184">
        <v>12</v>
      </c>
    </row>
    <row r="776" spans="33:41" x14ac:dyDescent="0.25">
      <c r="AG776" s="65"/>
      <c r="AH776" s="65"/>
      <c r="AJ776" s="184" t="s">
        <v>941</v>
      </c>
      <c r="AK776" s="184" t="s">
        <v>132</v>
      </c>
      <c r="AL776" s="184" t="s">
        <v>1430</v>
      </c>
      <c r="AM776" s="184" t="s">
        <v>1435</v>
      </c>
      <c r="AN776" s="184" t="s">
        <v>1535</v>
      </c>
      <c r="AO776" s="184">
        <v>12</v>
      </c>
    </row>
    <row r="777" spans="33:41" x14ac:dyDescent="0.25">
      <c r="AG777" s="65"/>
      <c r="AH777" s="65"/>
      <c r="AJ777" s="184" t="s">
        <v>942</v>
      </c>
      <c r="AK777" s="184" t="s">
        <v>132</v>
      </c>
      <c r="AL777" s="184" t="s">
        <v>1430</v>
      </c>
      <c r="AM777" s="184" t="s">
        <v>1435</v>
      </c>
      <c r="AN777" s="184" t="s">
        <v>1535</v>
      </c>
      <c r="AO777" s="184">
        <v>12</v>
      </c>
    </row>
    <row r="778" spans="33:41" x14ac:dyDescent="0.25">
      <c r="AG778" s="65"/>
      <c r="AH778" s="65"/>
      <c r="AJ778" s="184" t="s">
        <v>943</v>
      </c>
      <c r="AK778" s="184" t="s">
        <v>132</v>
      </c>
      <c r="AL778" s="184" t="s">
        <v>1430</v>
      </c>
      <c r="AM778" s="184" t="s">
        <v>1435</v>
      </c>
      <c r="AN778" s="184" t="s">
        <v>1535</v>
      </c>
      <c r="AO778" s="184">
        <v>12</v>
      </c>
    </row>
    <row r="779" spans="33:41" x14ac:dyDescent="0.25">
      <c r="AG779" s="65"/>
      <c r="AH779" s="65"/>
      <c r="AJ779" s="184" t="s">
        <v>944</v>
      </c>
      <c r="AK779" s="184" t="s">
        <v>132</v>
      </c>
      <c r="AL779" s="184" t="s">
        <v>1430</v>
      </c>
      <c r="AM779" s="184" t="s">
        <v>1435</v>
      </c>
      <c r="AN779" s="184" t="s">
        <v>1535</v>
      </c>
      <c r="AO779" s="184">
        <v>12</v>
      </c>
    </row>
    <row r="780" spans="33:41" x14ac:dyDescent="0.25">
      <c r="AG780" s="65"/>
      <c r="AH780" s="65"/>
      <c r="AJ780" s="184" t="s">
        <v>945</v>
      </c>
      <c r="AK780" s="184" t="s">
        <v>132</v>
      </c>
      <c r="AL780" s="184" t="s">
        <v>1430</v>
      </c>
      <c r="AM780" s="184" t="s">
        <v>1435</v>
      </c>
      <c r="AN780" s="184" t="s">
        <v>1535</v>
      </c>
      <c r="AO780" s="184">
        <v>12</v>
      </c>
    </row>
    <row r="781" spans="33:41" x14ac:dyDescent="0.25">
      <c r="AG781" s="65"/>
      <c r="AH781" s="65"/>
      <c r="AJ781" s="184" t="s">
        <v>946</v>
      </c>
      <c r="AK781" s="184" t="s">
        <v>132</v>
      </c>
      <c r="AL781" s="184" t="s">
        <v>1430</v>
      </c>
      <c r="AM781" s="184" t="s">
        <v>1435</v>
      </c>
      <c r="AN781" s="184" t="s">
        <v>1535</v>
      </c>
      <c r="AO781" s="184">
        <v>12</v>
      </c>
    </row>
    <row r="782" spans="33:41" x14ac:dyDescent="0.25">
      <c r="AG782" s="65"/>
      <c r="AH782" s="65"/>
      <c r="AJ782" s="184" t="s">
        <v>947</v>
      </c>
      <c r="AK782" s="184" t="s">
        <v>132</v>
      </c>
      <c r="AL782" s="184" t="s">
        <v>1430</v>
      </c>
      <c r="AM782" s="184" t="s">
        <v>1435</v>
      </c>
      <c r="AN782" s="184" t="s">
        <v>1535</v>
      </c>
      <c r="AO782" s="184">
        <v>12</v>
      </c>
    </row>
    <row r="783" spans="33:41" x14ac:dyDescent="0.25">
      <c r="AG783" s="65"/>
      <c r="AH783" s="65"/>
      <c r="AJ783" s="184" t="s">
        <v>948</v>
      </c>
      <c r="AK783" s="184" t="s">
        <v>132</v>
      </c>
      <c r="AL783" s="184" t="s">
        <v>1430</v>
      </c>
      <c r="AM783" s="184" t="s">
        <v>1435</v>
      </c>
      <c r="AN783" s="184" t="s">
        <v>1535</v>
      </c>
      <c r="AO783" s="184">
        <v>12</v>
      </c>
    </row>
    <row r="784" spans="33:41" x14ac:dyDescent="0.25">
      <c r="AG784" s="65"/>
      <c r="AH784" s="65"/>
      <c r="AJ784" s="184" t="s">
        <v>949</v>
      </c>
      <c r="AK784" s="184" t="s">
        <v>132</v>
      </c>
      <c r="AL784" s="184" t="s">
        <v>1430</v>
      </c>
      <c r="AM784" s="184" t="s">
        <v>1435</v>
      </c>
      <c r="AN784" s="184" t="s">
        <v>1535</v>
      </c>
      <c r="AO784" s="184">
        <v>12</v>
      </c>
    </row>
    <row r="785" spans="33:41" x14ac:dyDescent="0.25">
      <c r="AG785" s="65"/>
      <c r="AH785" s="65"/>
      <c r="AJ785" s="184" t="s">
        <v>950</v>
      </c>
      <c r="AK785" s="184" t="s">
        <v>132</v>
      </c>
      <c r="AL785" s="184" t="s">
        <v>1430</v>
      </c>
      <c r="AM785" s="184" t="s">
        <v>1435</v>
      </c>
      <c r="AN785" s="184" t="s">
        <v>1535</v>
      </c>
      <c r="AO785" s="184">
        <v>12</v>
      </c>
    </row>
    <row r="786" spans="33:41" x14ac:dyDescent="0.25">
      <c r="AG786" s="65"/>
      <c r="AH786" s="65"/>
      <c r="AJ786" s="184" t="s">
        <v>951</v>
      </c>
      <c r="AK786" s="184" t="s">
        <v>132</v>
      </c>
      <c r="AL786" s="184" t="s">
        <v>1430</v>
      </c>
      <c r="AM786" s="184" t="s">
        <v>1435</v>
      </c>
      <c r="AN786" s="184" t="s">
        <v>1535</v>
      </c>
      <c r="AO786" s="184">
        <v>12</v>
      </c>
    </row>
    <row r="787" spans="33:41" x14ac:dyDescent="0.25">
      <c r="AG787" s="65"/>
      <c r="AH787" s="65"/>
      <c r="AJ787" s="184" t="s">
        <v>952</v>
      </c>
      <c r="AK787" s="184" t="s">
        <v>132</v>
      </c>
      <c r="AL787" s="184" t="s">
        <v>1430</v>
      </c>
      <c r="AM787" s="184" t="s">
        <v>1435</v>
      </c>
      <c r="AN787" s="184" t="s">
        <v>1535</v>
      </c>
      <c r="AO787" s="184">
        <v>12</v>
      </c>
    </row>
    <row r="788" spans="33:41" x14ac:dyDescent="0.25">
      <c r="AG788" s="65"/>
      <c r="AH788" s="65"/>
      <c r="AJ788" s="184" t="s">
        <v>953</v>
      </c>
      <c r="AK788" s="184" t="s">
        <v>132</v>
      </c>
      <c r="AL788" s="184" t="s">
        <v>1430</v>
      </c>
      <c r="AM788" s="184" t="s">
        <v>1435</v>
      </c>
      <c r="AN788" s="184" t="s">
        <v>1535</v>
      </c>
      <c r="AO788" s="184">
        <v>12</v>
      </c>
    </row>
    <row r="789" spans="33:41" x14ac:dyDescent="0.25">
      <c r="AG789" s="65"/>
      <c r="AH789" s="65"/>
      <c r="AJ789" s="184" t="s">
        <v>954</v>
      </c>
      <c r="AK789" s="184" t="s">
        <v>132</v>
      </c>
      <c r="AL789" s="184" t="s">
        <v>1430</v>
      </c>
      <c r="AM789" s="184" t="s">
        <v>1485</v>
      </c>
      <c r="AN789" s="184" t="s">
        <v>1538</v>
      </c>
      <c r="AO789" s="184">
        <v>12</v>
      </c>
    </row>
    <row r="790" spans="33:41" x14ac:dyDescent="0.25">
      <c r="AG790" s="65"/>
      <c r="AH790" s="65"/>
      <c r="AJ790" s="184" t="s">
        <v>955</v>
      </c>
      <c r="AK790" s="184" t="s">
        <v>132</v>
      </c>
      <c r="AL790" s="184" t="s">
        <v>1430</v>
      </c>
      <c r="AM790" s="184" t="s">
        <v>1474</v>
      </c>
      <c r="AN790" s="184" t="s">
        <v>1538</v>
      </c>
      <c r="AO790" s="184">
        <v>12</v>
      </c>
    </row>
    <row r="791" spans="33:41" x14ac:dyDescent="0.25">
      <c r="AG791" s="65"/>
      <c r="AH791" s="65"/>
      <c r="AJ791" s="184" t="s">
        <v>956</v>
      </c>
      <c r="AK791" s="184" t="s">
        <v>132</v>
      </c>
      <c r="AL791" s="184" t="s">
        <v>1430</v>
      </c>
      <c r="AM791" s="184" t="s">
        <v>1435</v>
      </c>
      <c r="AN791" s="184" t="s">
        <v>1535</v>
      </c>
      <c r="AO791" s="184">
        <v>12</v>
      </c>
    </row>
    <row r="792" spans="33:41" x14ac:dyDescent="0.25">
      <c r="AG792" s="65"/>
      <c r="AH792" s="65"/>
      <c r="AJ792" s="184" t="s">
        <v>957</v>
      </c>
      <c r="AK792" s="184" t="s">
        <v>135</v>
      </c>
      <c r="AL792" s="184" t="s">
        <v>1430</v>
      </c>
      <c r="AM792" s="184" t="s">
        <v>1496</v>
      </c>
      <c r="AN792" s="184" t="s">
        <v>1539</v>
      </c>
      <c r="AO792" s="184">
        <v>12</v>
      </c>
    </row>
    <row r="793" spans="33:41" x14ac:dyDescent="0.25">
      <c r="AG793" s="65"/>
      <c r="AH793" s="65"/>
      <c r="AJ793" s="184" t="s">
        <v>958</v>
      </c>
      <c r="AK793" s="184" t="s">
        <v>143</v>
      </c>
      <c r="AL793" s="184" t="s">
        <v>1430</v>
      </c>
      <c r="AM793" s="184" t="s">
        <v>1443</v>
      </c>
      <c r="AN793" s="184" t="s">
        <v>1536</v>
      </c>
      <c r="AO793" s="184">
        <v>6</v>
      </c>
    </row>
    <row r="794" spans="33:41" x14ac:dyDescent="0.25">
      <c r="AG794" s="65"/>
      <c r="AH794" s="65"/>
      <c r="AJ794" s="184" t="s">
        <v>959</v>
      </c>
      <c r="AK794" s="184" t="s">
        <v>143</v>
      </c>
      <c r="AL794" s="184" t="s">
        <v>1430</v>
      </c>
      <c r="AM794" s="184" t="s">
        <v>1443</v>
      </c>
      <c r="AN794" s="184" t="s">
        <v>1536</v>
      </c>
      <c r="AO794" s="184">
        <v>6</v>
      </c>
    </row>
    <row r="795" spans="33:41" x14ac:dyDescent="0.25">
      <c r="AG795" s="65"/>
      <c r="AH795" s="65"/>
      <c r="AJ795" s="184" t="s">
        <v>960</v>
      </c>
      <c r="AK795" s="184" t="s">
        <v>143</v>
      </c>
      <c r="AL795" s="184" t="s">
        <v>1430</v>
      </c>
      <c r="AM795" s="184" t="s">
        <v>1443</v>
      </c>
      <c r="AN795" s="184" t="s">
        <v>1536</v>
      </c>
      <c r="AO795" s="184">
        <v>6</v>
      </c>
    </row>
    <row r="796" spans="33:41" x14ac:dyDescent="0.25">
      <c r="AG796" s="65"/>
      <c r="AH796" s="65"/>
      <c r="AJ796" s="184" t="s">
        <v>961</v>
      </c>
      <c r="AK796" s="184" t="s">
        <v>143</v>
      </c>
      <c r="AL796" s="184" t="s">
        <v>1430</v>
      </c>
      <c r="AM796" s="184" t="s">
        <v>1453</v>
      </c>
      <c r="AN796" s="184" t="s">
        <v>137</v>
      </c>
      <c r="AO796" s="184">
        <v>6</v>
      </c>
    </row>
    <row r="797" spans="33:41" x14ac:dyDescent="0.25">
      <c r="AG797" s="65"/>
      <c r="AH797" s="65"/>
      <c r="AJ797" s="184" t="s">
        <v>962</v>
      </c>
      <c r="AK797" s="184" t="s">
        <v>143</v>
      </c>
      <c r="AL797" s="184" t="s">
        <v>1430</v>
      </c>
      <c r="AM797" s="184" t="s">
        <v>1448</v>
      </c>
      <c r="AN797" s="184" t="s">
        <v>137</v>
      </c>
      <c r="AO797" s="184">
        <v>6</v>
      </c>
    </row>
    <row r="798" spans="33:41" x14ac:dyDescent="0.25">
      <c r="AG798" s="65"/>
      <c r="AH798" s="65"/>
      <c r="AJ798" s="184" t="s">
        <v>963</v>
      </c>
      <c r="AK798" s="184" t="s">
        <v>143</v>
      </c>
      <c r="AL798" s="184" t="s">
        <v>1430</v>
      </c>
      <c r="AM798" s="184" t="s">
        <v>1443</v>
      </c>
      <c r="AN798" s="184" t="s">
        <v>1536</v>
      </c>
      <c r="AO798" s="184">
        <v>6</v>
      </c>
    </row>
    <row r="799" spans="33:41" x14ac:dyDescent="0.25">
      <c r="AG799" s="65"/>
      <c r="AH799" s="65"/>
      <c r="AJ799" s="184" t="s">
        <v>964</v>
      </c>
      <c r="AK799" s="184" t="s">
        <v>143</v>
      </c>
      <c r="AL799" s="184" t="s">
        <v>1430</v>
      </c>
      <c r="AM799" s="184" t="s">
        <v>1448</v>
      </c>
      <c r="AN799" s="184" t="s">
        <v>137</v>
      </c>
      <c r="AO799" s="184">
        <v>6</v>
      </c>
    </row>
    <row r="800" spans="33:41" x14ac:dyDescent="0.25">
      <c r="AG800" s="65"/>
      <c r="AH800" s="65"/>
      <c r="AJ800" s="184" t="s">
        <v>965</v>
      </c>
      <c r="AK800" s="184" t="s">
        <v>143</v>
      </c>
      <c r="AL800" s="184" t="s">
        <v>1430</v>
      </c>
      <c r="AM800" s="184" t="s">
        <v>1443</v>
      </c>
      <c r="AN800" s="184" t="s">
        <v>1536</v>
      </c>
      <c r="AO800" s="184">
        <v>6</v>
      </c>
    </row>
    <row r="801" spans="33:41" x14ac:dyDescent="0.25">
      <c r="AG801" s="65"/>
      <c r="AH801" s="65"/>
      <c r="AJ801" s="184" t="s">
        <v>966</v>
      </c>
      <c r="AK801" s="184" t="s">
        <v>143</v>
      </c>
      <c r="AL801" s="184" t="s">
        <v>1430</v>
      </c>
      <c r="AM801" s="184" t="s">
        <v>1443</v>
      </c>
      <c r="AN801" s="184" t="s">
        <v>1536</v>
      </c>
      <c r="AO801" s="184">
        <v>6</v>
      </c>
    </row>
    <row r="802" spans="33:41" x14ac:dyDescent="0.25">
      <c r="AG802" s="65"/>
      <c r="AH802" s="65"/>
      <c r="AJ802" s="184" t="s">
        <v>967</v>
      </c>
      <c r="AK802" s="184" t="s">
        <v>83</v>
      </c>
      <c r="AL802" s="184" t="s">
        <v>1430</v>
      </c>
      <c r="AM802" s="184" t="s">
        <v>1452</v>
      </c>
      <c r="AN802" s="184" t="s">
        <v>137</v>
      </c>
      <c r="AO802" s="184">
        <v>12</v>
      </c>
    </row>
    <row r="803" spans="33:41" x14ac:dyDescent="0.25">
      <c r="AG803" s="65"/>
      <c r="AH803" s="65"/>
      <c r="AJ803" s="184" t="s">
        <v>968</v>
      </c>
      <c r="AK803" s="184" t="s">
        <v>83</v>
      </c>
      <c r="AL803" s="184" t="s">
        <v>1430</v>
      </c>
      <c r="AM803" s="184" t="s">
        <v>1509</v>
      </c>
      <c r="AN803" s="184" t="s">
        <v>1539</v>
      </c>
      <c r="AO803" s="184">
        <v>12</v>
      </c>
    </row>
    <row r="804" spans="33:41" x14ac:dyDescent="0.25">
      <c r="AG804" s="65"/>
      <c r="AH804" s="65"/>
      <c r="AJ804" s="184" t="s">
        <v>969</v>
      </c>
      <c r="AK804" s="184" t="s">
        <v>83</v>
      </c>
      <c r="AL804" s="184" t="s">
        <v>1430</v>
      </c>
      <c r="AM804" s="184" t="s">
        <v>1509</v>
      </c>
      <c r="AN804" s="184" t="s">
        <v>1539</v>
      </c>
      <c r="AO804" s="184">
        <v>12</v>
      </c>
    </row>
    <row r="805" spans="33:41" x14ac:dyDescent="0.25">
      <c r="AG805" s="65"/>
      <c r="AH805" s="65"/>
      <c r="AJ805" s="184" t="s">
        <v>970</v>
      </c>
      <c r="AK805" s="184" t="s">
        <v>83</v>
      </c>
      <c r="AL805" s="184" t="s">
        <v>1430</v>
      </c>
      <c r="AM805" s="184" t="s">
        <v>59</v>
      </c>
      <c r="AN805" s="184" t="s">
        <v>1537</v>
      </c>
      <c r="AO805" s="184">
        <v>12</v>
      </c>
    </row>
    <row r="806" spans="33:41" x14ac:dyDescent="0.25">
      <c r="AG806" s="65"/>
      <c r="AH806" s="65"/>
      <c r="AJ806" s="184" t="s">
        <v>971</v>
      </c>
      <c r="AK806" s="184" t="s">
        <v>83</v>
      </c>
      <c r="AL806" s="184" t="s">
        <v>1430</v>
      </c>
      <c r="AM806" s="184" t="s">
        <v>1466</v>
      </c>
      <c r="AN806" s="184" t="s">
        <v>137</v>
      </c>
      <c r="AO806" s="184">
        <v>12</v>
      </c>
    </row>
    <row r="807" spans="33:41" x14ac:dyDescent="0.25">
      <c r="AG807" s="65"/>
      <c r="AH807" s="65"/>
      <c r="AJ807" s="184" t="s">
        <v>972</v>
      </c>
      <c r="AK807" s="184" t="s">
        <v>83</v>
      </c>
      <c r="AL807" s="184" t="s">
        <v>1430</v>
      </c>
      <c r="AM807" s="184" t="s">
        <v>1455</v>
      </c>
      <c r="AN807" s="184" t="s">
        <v>137</v>
      </c>
      <c r="AO807" s="184">
        <v>12</v>
      </c>
    </row>
    <row r="808" spans="33:41" x14ac:dyDescent="0.25">
      <c r="AG808" s="65"/>
      <c r="AH808" s="65"/>
      <c r="AJ808" s="184" t="s">
        <v>973</v>
      </c>
      <c r="AK808" s="184" t="s">
        <v>96</v>
      </c>
      <c r="AL808" s="184" t="s">
        <v>1430</v>
      </c>
      <c r="AM808" s="184" t="s">
        <v>1497</v>
      </c>
      <c r="AN808" s="184" t="s">
        <v>1539</v>
      </c>
      <c r="AO808" s="184">
        <v>12</v>
      </c>
    </row>
    <row r="809" spans="33:41" x14ac:dyDescent="0.25">
      <c r="AG809" s="65"/>
      <c r="AH809" s="65"/>
      <c r="AJ809" s="184" t="s">
        <v>974</v>
      </c>
      <c r="AK809" s="184" t="s">
        <v>98</v>
      </c>
      <c r="AL809" s="184" t="s">
        <v>1430</v>
      </c>
      <c r="AM809" s="184" t="s">
        <v>1497</v>
      </c>
      <c r="AN809" s="184" t="s">
        <v>1539</v>
      </c>
      <c r="AO809" s="184">
        <v>12</v>
      </c>
    </row>
    <row r="810" spans="33:41" x14ac:dyDescent="0.25">
      <c r="AG810" s="65"/>
      <c r="AH810" s="65"/>
      <c r="AJ810" s="184" t="s">
        <v>975</v>
      </c>
      <c r="AK810" s="184" t="s">
        <v>96</v>
      </c>
      <c r="AL810" s="184" t="s">
        <v>1430</v>
      </c>
      <c r="AM810" s="184" t="s">
        <v>1497</v>
      </c>
      <c r="AN810" s="184" t="s">
        <v>1539</v>
      </c>
      <c r="AO810" s="184">
        <v>12</v>
      </c>
    </row>
    <row r="811" spans="33:41" x14ac:dyDescent="0.25">
      <c r="AG811" s="65"/>
      <c r="AH811" s="65"/>
      <c r="AJ811" s="184" t="s">
        <v>976</v>
      </c>
      <c r="AK811" s="184" t="s">
        <v>98</v>
      </c>
      <c r="AL811" s="184" t="s">
        <v>1430</v>
      </c>
      <c r="AM811" s="184" t="s">
        <v>1497</v>
      </c>
      <c r="AN811" s="184" t="s">
        <v>1539</v>
      </c>
      <c r="AO811" s="184">
        <v>12</v>
      </c>
    </row>
    <row r="812" spans="33:41" x14ac:dyDescent="0.25">
      <c r="AG812" s="65"/>
      <c r="AH812" s="65"/>
      <c r="AJ812" s="184" t="s">
        <v>977</v>
      </c>
      <c r="AK812" s="184" t="s">
        <v>83</v>
      </c>
      <c r="AL812" s="184" t="s">
        <v>1430</v>
      </c>
      <c r="AM812" s="184" t="s">
        <v>1485</v>
      </c>
      <c r="AN812" s="184" t="s">
        <v>1538</v>
      </c>
      <c r="AO812" s="184">
        <v>12</v>
      </c>
    </row>
    <row r="813" spans="33:41" x14ac:dyDescent="0.25">
      <c r="AG813" s="65"/>
      <c r="AH813" s="65"/>
      <c r="AJ813" s="184" t="s">
        <v>978</v>
      </c>
      <c r="AK813" s="184" t="s">
        <v>102</v>
      </c>
      <c r="AL813" s="184" t="s">
        <v>1430</v>
      </c>
      <c r="AM813" s="184" t="s">
        <v>1459</v>
      </c>
      <c r="AN813" s="184" t="s">
        <v>137</v>
      </c>
      <c r="AO813" s="184">
        <v>12</v>
      </c>
    </row>
    <row r="814" spans="33:41" x14ac:dyDescent="0.25">
      <c r="AG814" s="65"/>
      <c r="AH814" s="65"/>
      <c r="AJ814" s="184" t="s">
        <v>979</v>
      </c>
      <c r="AK814" s="184" t="s">
        <v>1413</v>
      </c>
      <c r="AL814" s="184" t="s">
        <v>1430</v>
      </c>
      <c r="AM814" s="184" t="s">
        <v>1497</v>
      </c>
      <c r="AN814" s="184" t="s">
        <v>1539</v>
      </c>
      <c r="AO814" s="184">
        <v>12</v>
      </c>
    </row>
    <row r="815" spans="33:41" x14ac:dyDescent="0.25">
      <c r="AG815" s="65"/>
      <c r="AH815" s="65"/>
      <c r="AJ815" s="184" t="s">
        <v>980</v>
      </c>
      <c r="AK815" s="184" t="s">
        <v>83</v>
      </c>
      <c r="AL815" s="184" t="s">
        <v>1430</v>
      </c>
      <c r="AM815" s="184" t="s">
        <v>1497</v>
      </c>
      <c r="AN815" s="184" t="s">
        <v>1539</v>
      </c>
      <c r="AO815" s="184">
        <v>12</v>
      </c>
    </row>
    <row r="816" spans="33:41" x14ac:dyDescent="0.25">
      <c r="AG816" s="65"/>
      <c r="AH816" s="65"/>
      <c r="AJ816" s="184" t="s">
        <v>981</v>
      </c>
      <c r="AK816" s="184" t="s">
        <v>83</v>
      </c>
      <c r="AL816" s="184" t="s">
        <v>1430</v>
      </c>
      <c r="AM816" s="184" t="s">
        <v>1471</v>
      </c>
      <c r="AN816" s="184" t="s">
        <v>1471</v>
      </c>
      <c r="AO816" s="184">
        <v>12</v>
      </c>
    </row>
    <row r="817" spans="33:41" x14ac:dyDescent="0.25">
      <c r="AG817" s="65"/>
      <c r="AH817" s="65"/>
      <c r="AJ817" s="184" t="s">
        <v>982</v>
      </c>
      <c r="AK817" s="184" t="s">
        <v>83</v>
      </c>
      <c r="AL817" s="184" t="s">
        <v>1430</v>
      </c>
      <c r="AM817" s="184" t="s">
        <v>1506</v>
      </c>
      <c r="AN817" s="184" t="s">
        <v>137</v>
      </c>
      <c r="AO817" s="184">
        <v>12</v>
      </c>
    </row>
    <row r="818" spans="33:41" x14ac:dyDescent="0.25">
      <c r="AG818" s="65"/>
      <c r="AH818" s="65"/>
      <c r="AJ818" s="184" t="s">
        <v>983</v>
      </c>
      <c r="AK818" s="184" t="s">
        <v>83</v>
      </c>
      <c r="AL818" s="184" t="s">
        <v>1430</v>
      </c>
      <c r="AM818" s="184" t="s">
        <v>1506</v>
      </c>
      <c r="AN818" s="184" t="s">
        <v>137</v>
      </c>
      <c r="AO818" s="184">
        <v>12</v>
      </c>
    </row>
    <row r="819" spans="33:41" x14ac:dyDescent="0.25">
      <c r="AG819" s="65"/>
      <c r="AH819" s="65"/>
      <c r="AJ819" s="184" t="s">
        <v>984</v>
      </c>
      <c r="AK819" s="184" t="s">
        <v>83</v>
      </c>
      <c r="AL819" s="184" t="s">
        <v>1430</v>
      </c>
      <c r="AM819" s="184" t="s">
        <v>1506</v>
      </c>
      <c r="AN819" s="184" t="s">
        <v>137</v>
      </c>
      <c r="AO819" s="184">
        <v>12</v>
      </c>
    </row>
    <row r="820" spans="33:41" x14ac:dyDescent="0.25">
      <c r="AG820" s="65"/>
      <c r="AH820" s="65"/>
      <c r="AJ820" s="184" t="s">
        <v>985</v>
      </c>
      <c r="AK820" s="184" t="s">
        <v>83</v>
      </c>
      <c r="AL820" s="184" t="s">
        <v>1430</v>
      </c>
      <c r="AM820" s="184" t="s">
        <v>1506</v>
      </c>
      <c r="AN820" s="184" t="s">
        <v>137</v>
      </c>
      <c r="AO820" s="184">
        <v>12</v>
      </c>
    </row>
    <row r="821" spans="33:41" x14ac:dyDescent="0.25">
      <c r="AG821" s="65"/>
      <c r="AH821" s="65"/>
      <c r="AJ821" s="184" t="s">
        <v>986</v>
      </c>
      <c r="AK821" s="184" t="s">
        <v>83</v>
      </c>
      <c r="AL821" s="184" t="s">
        <v>1430</v>
      </c>
      <c r="AM821" s="184" t="s">
        <v>1506</v>
      </c>
      <c r="AN821" s="184" t="s">
        <v>137</v>
      </c>
      <c r="AO821" s="184">
        <v>12</v>
      </c>
    </row>
    <row r="822" spans="33:41" x14ac:dyDescent="0.25">
      <c r="AG822" s="65"/>
      <c r="AH822" s="65"/>
      <c r="AJ822" s="184" t="s">
        <v>987</v>
      </c>
      <c r="AK822" s="184" t="s">
        <v>136</v>
      </c>
      <c r="AL822" s="184" t="s">
        <v>1430</v>
      </c>
      <c r="AM822" s="184" t="s">
        <v>1497</v>
      </c>
      <c r="AN822" s="184" t="s">
        <v>1539</v>
      </c>
      <c r="AO822" s="184">
        <v>6</v>
      </c>
    </row>
    <row r="823" spans="33:41" x14ac:dyDescent="0.25">
      <c r="AG823" s="65"/>
      <c r="AH823" s="65"/>
      <c r="AJ823" s="184" t="s">
        <v>988</v>
      </c>
      <c r="AK823" s="184" t="s">
        <v>136</v>
      </c>
      <c r="AL823" s="184" t="s">
        <v>1430</v>
      </c>
      <c r="AM823" s="184" t="s">
        <v>1461</v>
      </c>
      <c r="AN823" s="184" t="s">
        <v>137</v>
      </c>
      <c r="AO823" s="184">
        <v>6</v>
      </c>
    </row>
    <row r="824" spans="33:41" x14ac:dyDescent="0.25">
      <c r="AG824" s="65"/>
      <c r="AH824" s="65"/>
      <c r="AJ824" s="184" t="s">
        <v>989</v>
      </c>
      <c r="AK824" s="184" t="s">
        <v>136</v>
      </c>
      <c r="AL824" s="184" t="s">
        <v>1430</v>
      </c>
      <c r="AM824" s="184" t="s">
        <v>1471</v>
      </c>
      <c r="AN824" s="184" t="s">
        <v>1471</v>
      </c>
      <c r="AO824" s="184">
        <v>6</v>
      </c>
    </row>
    <row r="825" spans="33:41" x14ac:dyDescent="0.25">
      <c r="AG825" s="65"/>
      <c r="AH825" s="65"/>
      <c r="AJ825" s="184" t="s">
        <v>990</v>
      </c>
      <c r="AK825" s="184" t="s">
        <v>136</v>
      </c>
      <c r="AL825" s="184" t="s">
        <v>1430</v>
      </c>
      <c r="AM825" s="184" t="s">
        <v>1471</v>
      </c>
      <c r="AN825" s="184" t="s">
        <v>1471</v>
      </c>
      <c r="AO825" s="184">
        <v>6</v>
      </c>
    </row>
    <row r="826" spans="33:41" x14ac:dyDescent="0.25">
      <c r="AG826" s="65"/>
      <c r="AH826" s="65"/>
      <c r="AJ826" s="184" t="s">
        <v>991</v>
      </c>
      <c r="AK826" s="184" t="s">
        <v>136</v>
      </c>
      <c r="AL826" s="184" t="s">
        <v>1430</v>
      </c>
      <c r="AM826" s="184" t="s">
        <v>1477</v>
      </c>
      <c r="AN826" s="184" t="s">
        <v>1538</v>
      </c>
      <c r="AO826" s="184">
        <v>6</v>
      </c>
    </row>
    <row r="827" spans="33:41" x14ac:dyDescent="0.25">
      <c r="AG827" s="65"/>
      <c r="AH827" s="65"/>
      <c r="AJ827" s="184" t="s">
        <v>992</v>
      </c>
      <c r="AK827" s="184" t="s">
        <v>136</v>
      </c>
      <c r="AL827" s="184" t="s">
        <v>1430</v>
      </c>
      <c r="AM827" s="184" t="s">
        <v>1453</v>
      </c>
      <c r="AN827" s="184" t="s">
        <v>137</v>
      </c>
      <c r="AO827" s="184">
        <v>6</v>
      </c>
    </row>
    <row r="828" spans="33:41" x14ac:dyDescent="0.25">
      <c r="AG828" s="65"/>
      <c r="AH828" s="65"/>
      <c r="AJ828" s="184" t="s">
        <v>993</v>
      </c>
      <c r="AK828" s="184" t="s">
        <v>136</v>
      </c>
      <c r="AL828" s="184" t="s">
        <v>1430</v>
      </c>
      <c r="AM828" s="184" t="s">
        <v>1510</v>
      </c>
      <c r="AN828" s="184" t="s">
        <v>137</v>
      </c>
      <c r="AO828" s="184">
        <v>6</v>
      </c>
    </row>
    <row r="829" spans="33:41" x14ac:dyDescent="0.25">
      <c r="AG829" s="65"/>
      <c r="AH829" s="65"/>
      <c r="AJ829" s="184" t="s">
        <v>994</v>
      </c>
      <c r="AK829" s="184" t="s">
        <v>136</v>
      </c>
      <c r="AL829" s="184" t="s">
        <v>1430</v>
      </c>
      <c r="AM829" s="184" t="s">
        <v>1443</v>
      </c>
      <c r="AN829" s="184" t="s">
        <v>1536</v>
      </c>
      <c r="AO829" s="184">
        <v>6</v>
      </c>
    </row>
    <row r="830" spans="33:41" x14ac:dyDescent="0.25">
      <c r="AG830" s="65"/>
      <c r="AH830" s="65"/>
      <c r="AJ830" s="184" t="s">
        <v>995</v>
      </c>
      <c r="AK830" s="184" t="s">
        <v>136</v>
      </c>
      <c r="AL830" s="184" t="s">
        <v>1430</v>
      </c>
      <c r="AM830" s="184" t="s">
        <v>1493</v>
      </c>
      <c r="AN830" s="184" t="s">
        <v>1538</v>
      </c>
      <c r="AO830" s="184">
        <v>6</v>
      </c>
    </row>
    <row r="831" spans="33:41" x14ac:dyDescent="0.25">
      <c r="AG831" s="65"/>
      <c r="AH831" s="65"/>
      <c r="AJ831" s="184" t="s">
        <v>996</v>
      </c>
      <c r="AK831" s="184" t="s">
        <v>136</v>
      </c>
      <c r="AL831" s="184" t="s">
        <v>1430</v>
      </c>
      <c r="AM831" s="184" t="s">
        <v>1492</v>
      </c>
      <c r="AN831" s="184" t="s">
        <v>1538</v>
      </c>
      <c r="AO831" s="184">
        <v>6</v>
      </c>
    </row>
    <row r="832" spans="33:41" x14ac:dyDescent="0.25">
      <c r="AG832" s="65"/>
      <c r="AH832" s="65"/>
      <c r="AJ832" s="184" t="s">
        <v>997</v>
      </c>
      <c r="AK832" s="184" t="s">
        <v>136</v>
      </c>
      <c r="AL832" s="184" t="s">
        <v>1430</v>
      </c>
      <c r="AM832" s="184" t="s">
        <v>1480</v>
      </c>
      <c r="AN832" s="184" t="s">
        <v>1538</v>
      </c>
      <c r="AO832" s="184">
        <v>6</v>
      </c>
    </row>
    <row r="833" spans="33:41" x14ac:dyDescent="0.25">
      <c r="AG833" s="65"/>
      <c r="AH833" s="65"/>
      <c r="AJ833" s="184" t="s">
        <v>998</v>
      </c>
      <c r="AK833" s="184" t="s">
        <v>152</v>
      </c>
      <c r="AL833" s="184" t="s">
        <v>1430</v>
      </c>
      <c r="AM833" s="184" t="s">
        <v>1506</v>
      </c>
      <c r="AN833" s="184" t="s">
        <v>137</v>
      </c>
      <c r="AO833" s="184">
        <v>12</v>
      </c>
    </row>
    <row r="834" spans="33:41" x14ac:dyDescent="0.25">
      <c r="AG834" s="65"/>
      <c r="AH834" s="65"/>
      <c r="AJ834" s="184" t="s">
        <v>999</v>
      </c>
      <c r="AK834" s="184" t="s">
        <v>136</v>
      </c>
      <c r="AL834" s="184" t="s">
        <v>1430</v>
      </c>
      <c r="AM834" s="184" t="s">
        <v>1484</v>
      </c>
      <c r="AN834" s="184" t="s">
        <v>99</v>
      </c>
      <c r="AO834" s="184">
        <v>6</v>
      </c>
    </row>
    <row r="835" spans="33:41" x14ac:dyDescent="0.25">
      <c r="AG835" s="65"/>
      <c r="AH835" s="65"/>
      <c r="AJ835" s="184" t="s">
        <v>1000</v>
      </c>
      <c r="AK835" s="184" t="s">
        <v>136</v>
      </c>
      <c r="AL835" s="184" t="s">
        <v>1430</v>
      </c>
      <c r="AM835" s="184" t="s">
        <v>1474</v>
      </c>
      <c r="AN835" s="184" t="s">
        <v>1538</v>
      </c>
      <c r="AO835" s="184">
        <v>6</v>
      </c>
    </row>
    <row r="836" spans="33:41" x14ac:dyDescent="0.25">
      <c r="AG836" s="65"/>
      <c r="AH836" s="65"/>
      <c r="AJ836" s="184" t="s">
        <v>1001</v>
      </c>
      <c r="AK836" s="184" t="s">
        <v>136</v>
      </c>
      <c r="AL836" s="184" t="s">
        <v>1430</v>
      </c>
      <c r="AM836" s="184" t="s">
        <v>1476</v>
      </c>
      <c r="AN836" s="184" t="s">
        <v>1538</v>
      </c>
      <c r="AO836" s="184">
        <v>6</v>
      </c>
    </row>
    <row r="837" spans="33:41" x14ac:dyDescent="0.25">
      <c r="AG837" s="65"/>
      <c r="AH837" s="65"/>
      <c r="AJ837" s="184" t="s">
        <v>1002</v>
      </c>
      <c r="AK837" s="184" t="s">
        <v>136</v>
      </c>
      <c r="AL837" s="184" t="s">
        <v>1430</v>
      </c>
      <c r="AM837" s="184" t="s">
        <v>1493</v>
      </c>
      <c r="AN837" s="184" t="s">
        <v>1538</v>
      </c>
      <c r="AO837" s="184">
        <v>6</v>
      </c>
    </row>
    <row r="838" spans="33:41" x14ac:dyDescent="0.25">
      <c r="AG838" s="65"/>
      <c r="AH838" s="65"/>
      <c r="AJ838" s="184" t="s">
        <v>1003</v>
      </c>
      <c r="AK838" s="184" t="s">
        <v>136</v>
      </c>
      <c r="AL838" s="184" t="s">
        <v>1430</v>
      </c>
      <c r="AM838" s="184" t="s">
        <v>1477</v>
      </c>
      <c r="AN838" s="184" t="s">
        <v>1538</v>
      </c>
      <c r="AO838" s="184">
        <v>6</v>
      </c>
    </row>
    <row r="839" spans="33:41" x14ac:dyDescent="0.25">
      <c r="AG839" s="65"/>
      <c r="AH839" s="65"/>
      <c r="AJ839" s="184" t="s">
        <v>1004</v>
      </c>
      <c r="AK839" s="184" t="s">
        <v>136</v>
      </c>
      <c r="AL839" s="184" t="s">
        <v>1430</v>
      </c>
      <c r="AM839" s="184" t="s">
        <v>1471</v>
      </c>
      <c r="AN839" s="184" t="s">
        <v>1471</v>
      </c>
      <c r="AO839" s="184">
        <v>6</v>
      </c>
    </row>
    <row r="840" spans="33:41" x14ac:dyDescent="0.25">
      <c r="AG840" s="65"/>
      <c r="AH840" s="65"/>
      <c r="AJ840" s="184" t="s">
        <v>1005</v>
      </c>
      <c r="AK840" s="184" t="s">
        <v>1396</v>
      </c>
      <c r="AL840" s="184" t="s">
        <v>1430</v>
      </c>
      <c r="AM840" s="184" t="s">
        <v>1449</v>
      </c>
      <c r="AN840" s="184" t="s">
        <v>1537</v>
      </c>
      <c r="AO840" s="184">
        <v>12</v>
      </c>
    </row>
    <row r="841" spans="33:41" x14ac:dyDescent="0.25">
      <c r="AG841" s="65"/>
      <c r="AH841" s="65"/>
      <c r="AJ841" s="184" t="s">
        <v>1006</v>
      </c>
      <c r="AK841" s="184" t="s">
        <v>1401</v>
      </c>
      <c r="AL841" s="184" t="s">
        <v>1430</v>
      </c>
      <c r="AM841" s="184" t="s">
        <v>59</v>
      </c>
      <c r="AN841" s="184" t="s">
        <v>1540</v>
      </c>
      <c r="AO841" s="184">
        <v>12</v>
      </c>
    </row>
    <row r="842" spans="33:41" x14ac:dyDescent="0.25">
      <c r="AG842" s="65"/>
      <c r="AH842" s="65"/>
      <c r="AJ842" s="184" t="s">
        <v>1007</v>
      </c>
      <c r="AK842" s="184" t="s">
        <v>1401</v>
      </c>
      <c r="AL842" s="184" t="s">
        <v>1430</v>
      </c>
      <c r="AM842" s="184" t="s">
        <v>59</v>
      </c>
      <c r="AN842" s="184" t="s">
        <v>1540</v>
      </c>
      <c r="AO842" s="184">
        <v>12</v>
      </c>
    </row>
    <row r="843" spans="33:41" x14ac:dyDescent="0.25">
      <c r="AG843" s="65"/>
      <c r="AH843" s="65"/>
      <c r="AJ843" s="184" t="s">
        <v>1008</v>
      </c>
      <c r="AK843" s="184" t="s">
        <v>156</v>
      </c>
      <c r="AL843" s="184" t="s">
        <v>1430</v>
      </c>
      <c r="AM843" s="184" t="s">
        <v>1471</v>
      </c>
      <c r="AN843" s="184" t="s">
        <v>1471</v>
      </c>
      <c r="AO843" s="184">
        <v>12</v>
      </c>
    </row>
    <row r="844" spans="33:41" x14ac:dyDescent="0.25">
      <c r="AG844" s="65"/>
      <c r="AH844" s="65"/>
      <c r="AJ844" s="184" t="s">
        <v>1009</v>
      </c>
      <c r="AK844" s="184" t="s">
        <v>156</v>
      </c>
      <c r="AL844" s="184" t="s">
        <v>1430</v>
      </c>
      <c r="AM844" s="184" t="s">
        <v>1471</v>
      </c>
      <c r="AN844" s="184" t="s">
        <v>1471</v>
      </c>
      <c r="AO844" s="184">
        <v>12</v>
      </c>
    </row>
    <row r="845" spans="33:41" x14ac:dyDescent="0.25">
      <c r="AG845" s="65"/>
      <c r="AH845" s="65"/>
      <c r="AJ845" s="184" t="s">
        <v>1010</v>
      </c>
      <c r="AK845" s="184" t="s">
        <v>1414</v>
      </c>
      <c r="AL845" s="184" t="s">
        <v>1430</v>
      </c>
      <c r="AM845" s="184" t="s">
        <v>59</v>
      </c>
      <c r="AN845" s="184" t="s">
        <v>1540</v>
      </c>
      <c r="AO845" s="184">
        <v>24</v>
      </c>
    </row>
    <row r="846" spans="33:41" x14ac:dyDescent="0.25">
      <c r="AG846" s="65"/>
      <c r="AH846" s="65"/>
      <c r="AJ846" s="184" t="s">
        <v>1011</v>
      </c>
      <c r="AK846" s="184" t="s">
        <v>1396</v>
      </c>
      <c r="AL846" s="184" t="s">
        <v>1430</v>
      </c>
      <c r="AM846" s="184" t="s">
        <v>59</v>
      </c>
      <c r="AN846" s="184" t="s">
        <v>1537</v>
      </c>
      <c r="AO846" s="184">
        <v>12</v>
      </c>
    </row>
    <row r="847" spans="33:41" x14ac:dyDescent="0.25">
      <c r="AG847" s="65"/>
      <c r="AH847" s="65"/>
      <c r="AJ847" s="184" t="s">
        <v>1012</v>
      </c>
      <c r="AK847" s="184" t="s">
        <v>150</v>
      </c>
      <c r="AL847" s="184" t="s">
        <v>1430</v>
      </c>
      <c r="AM847" s="184" t="s">
        <v>59</v>
      </c>
      <c r="AN847" s="184" t="s">
        <v>1537</v>
      </c>
      <c r="AO847" s="184">
        <v>24</v>
      </c>
    </row>
    <row r="848" spans="33:41" x14ac:dyDescent="0.25">
      <c r="AG848" s="65"/>
      <c r="AH848" s="65"/>
      <c r="AJ848" s="184" t="s">
        <v>1013</v>
      </c>
      <c r="AK848" s="184" t="s">
        <v>132</v>
      </c>
      <c r="AL848" s="184" t="s">
        <v>1430</v>
      </c>
      <c r="AM848" s="184" t="s">
        <v>59</v>
      </c>
      <c r="AN848" s="184" t="s">
        <v>1537</v>
      </c>
      <c r="AO848" s="184">
        <v>12</v>
      </c>
    </row>
    <row r="849" spans="33:41" x14ac:dyDescent="0.25">
      <c r="AG849" s="65"/>
      <c r="AH849" s="65"/>
      <c r="AJ849" s="184" t="s">
        <v>1014</v>
      </c>
      <c r="AK849" s="184" t="s">
        <v>133</v>
      </c>
      <c r="AL849" s="184" t="s">
        <v>1430</v>
      </c>
      <c r="AM849" s="184" t="s">
        <v>59</v>
      </c>
      <c r="AN849" s="184" t="s">
        <v>1537</v>
      </c>
      <c r="AO849" s="184">
        <v>12</v>
      </c>
    </row>
    <row r="850" spans="33:41" x14ac:dyDescent="0.25">
      <c r="AG850" s="65"/>
      <c r="AH850" s="65"/>
      <c r="AJ850" s="184" t="s">
        <v>1015</v>
      </c>
      <c r="AK850" s="184" t="s">
        <v>1396</v>
      </c>
      <c r="AL850" s="184" t="s">
        <v>1430</v>
      </c>
      <c r="AM850" s="184" t="s">
        <v>59</v>
      </c>
      <c r="AN850" s="184" t="s">
        <v>1537</v>
      </c>
      <c r="AO850" s="184">
        <v>12</v>
      </c>
    </row>
    <row r="851" spans="33:41" x14ac:dyDescent="0.25">
      <c r="AG851" s="65"/>
      <c r="AH851" s="65"/>
      <c r="AJ851" s="184" t="s">
        <v>1016</v>
      </c>
      <c r="AK851" s="184" t="s">
        <v>150</v>
      </c>
      <c r="AL851" s="184" t="s">
        <v>1430</v>
      </c>
      <c r="AM851" s="184" t="s">
        <v>59</v>
      </c>
      <c r="AN851" s="184" t="s">
        <v>1540</v>
      </c>
      <c r="AO851" s="184">
        <v>12</v>
      </c>
    </row>
    <row r="852" spans="33:41" x14ac:dyDescent="0.25">
      <c r="AG852" s="65"/>
      <c r="AH852" s="65"/>
      <c r="AJ852" s="184" t="s">
        <v>1017</v>
      </c>
      <c r="AK852" s="184" t="s">
        <v>156</v>
      </c>
      <c r="AL852" s="184" t="s">
        <v>1430</v>
      </c>
      <c r="AM852" s="184" t="s">
        <v>1471</v>
      </c>
      <c r="AN852" s="184" t="s">
        <v>1471</v>
      </c>
      <c r="AO852" s="184">
        <v>12</v>
      </c>
    </row>
    <row r="853" spans="33:41" x14ac:dyDescent="0.25">
      <c r="AG853" s="65"/>
      <c r="AH853" s="65"/>
      <c r="AJ853" s="184" t="s">
        <v>1018</v>
      </c>
      <c r="AK853" s="184" t="s">
        <v>140</v>
      </c>
      <c r="AL853" s="184" t="s">
        <v>1430</v>
      </c>
      <c r="AM853" s="184" t="s">
        <v>1471</v>
      </c>
      <c r="AN853" s="184" t="s">
        <v>1471</v>
      </c>
      <c r="AO853" s="184">
        <v>12</v>
      </c>
    </row>
    <row r="854" spans="33:41" x14ac:dyDescent="0.25">
      <c r="AG854" s="65"/>
      <c r="AH854" s="65"/>
      <c r="AJ854" s="184" t="s">
        <v>1019</v>
      </c>
      <c r="AK854" s="184" t="s">
        <v>1415</v>
      </c>
      <c r="AL854" s="184" t="s">
        <v>1430</v>
      </c>
      <c r="AM854" s="184" t="s">
        <v>1510</v>
      </c>
      <c r="AN854" s="184" t="s">
        <v>137</v>
      </c>
      <c r="AO854" s="184">
        <v>12</v>
      </c>
    </row>
    <row r="855" spans="33:41" x14ac:dyDescent="0.25">
      <c r="AG855" s="65"/>
      <c r="AH855" s="65"/>
      <c r="AJ855" s="184" t="s">
        <v>1020</v>
      </c>
      <c r="AK855" s="184" t="s">
        <v>135</v>
      </c>
      <c r="AL855" s="184" t="s">
        <v>1430</v>
      </c>
      <c r="AM855" s="184" t="s">
        <v>1435</v>
      </c>
      <c r="AN855" s="184" t="s">
        <v>1535</v>
      </c>
      <c r="AO855" s="184">
        <v>12</v>
      </c>
    </row>
    <row r="856" spans="33:41" x14ac:dyDescent="0.25">
      <c r="AG856" s="65"/>
      <c r="AH856" s="65"/>
      <c r="AJ856" s="184" t="s">
        <v>1021</v>
      </c>
      <c r="AK856" s="184" t="s">
        <v>135</v>
      </c>
      <c r="AL856" s="184" t="s">
        <v>1430</v>
      </c>
      <c r="AM856" s="184" t="s">
        <v>1435</v>
      </c>
      <c r="AN856" s="184" t="s">
        <v>1535</v>
      </c>
      <c r="AO856" s="184">
        <v>12</v>
      </c>
    </row>
    <row r="857" spans="33:41" x14ac:dyDescent="0.25">
      <c r="AG857" s="65"/>
      <c r="AH857" s="65"/>
      <c r="AJ857" s="184" t="s">
        <v>1022</v>
      </c>
      <c r="AK857" s="184" t="s">
        <v>135</v>
      </c>
      <c r="AL857" s="184" t="s">
        <v>1430</v>
      </c>
      <c r="AM857" s="184" t="s">
        <v>1435</v>
      </c>
      <c r="AN857" s="184" t="s">
        <v>1535</v>
      </c>
      <c r="AO857" s="184">
        <v>12</v>
      </c>
    </row>
    <row r="858" spans="33:41" x14ac:dyDescent="0.25">
      <c r="AG858" s="65"/>
      <c r="AH858" s="65"/>
      <c r="AJ858" s="184" t="s">
        <v>1023</v>
      </c>
      <c r="AK858" s="184" t="s">
        <v>135</v>
      </c>
      <c r="AL858" s="184" t="s">
        <v>1430</v>
      </c>
      <c r="AM858" s="184" t="s">
        <v>1435</v>
      </c>
      <c r="AN858" s="184" t="s">
        <v>1535</v>
      </c>
      <c r="AO858" s="184">
        <v>12</v>
      </c>
    </row>
    <row r="859" spans="33:41" x14ac:dyDescent="0.25">
      <c r="AG859" s="65"/>
      <c r="AH859" s="65"/>
      <c r="AJ859" s="184" t="s">
        <v>1024</v>
      </c>
      <c r="AK859" s="184" t="s">
        <v>135</v>
      </c>
      <c r="AL859" s="184" t="s">
        <v>1430</v>
      </c>
      <c r="AM859" s="184" t="s">
        <v>1435</v>
      </c>
      <c r="AN859" s="184" t="s">
        <v>1535</v>
      </c>
      <c r="AO859" s="184">
        <v>12</v>
      </c>
    </row>
    <row r="860" spans="33:41" x14ac:dyDescent="0.25">
      <c r="AG860" s="65"/>
      <c r="AH860" s="65"/>
      <c r="AJ860" s="184" t="s">
        <v>1025</v>
      </c>
      <c r="AK860" s="184" t="s">
        <v>135</v>
      </c>
      <c r="AL860" s="184" t="s">
        <v>1430</v>
      </c>
      <c r="AM860" s="184" t="s">
        <v>1435</v>
      </c>
      <c r="AN860" s="184" t="s">
        <v>1535</v>
      </c>
      <c r="AO860" s="184">
        <v>12</v>
      </c>
    </row>
    <row r="861" spans="33:41" x14ac:dyDescent="0.25">
      <c r="AG861" s="65"/>
      <c r="AH861" s="65"/>
      <c r="AJ861" s="184" t="s">
        <v>1026</v>
      </c>
      <c r="AK861" s="184" t="s">
        <v>135</v>
      </c>
      <c r="AL861" s="184" t="s">
        <v>1430</v>
      </c>
      <c r="AM861" s="184" t="s">
        <v>1492</v>
      </c>
      <c r="AN861" s="184" t="s">
        <v>1538</v>
      </c>
      <c r="AO861" s="184">
        <v>12</v>
      </c>
    </row>
    <row r="862" spans="33:41" x14ac:dyDescent="0.25">
      <c r="AG862" s="65"/>
      <c r="AH862" s="65"/>
      <c r="AJ862" s="184" t="s">
        <v>1027</v>
      </c>
      <c r="AK862" s="184" t="s">
        <v>135</v>
      </c>
      <c r="AL862" s="184" t="s">
        <v>1430</v>
      </c>
      <c r="AM862" s="184" t="s">
        <v>1435</v>
      </c>
      <c r="AN862" s="184" t="s">
        <v>1535</v>
      </c>
      <c r="AO862" s="184">
        <v>12</v>
      </c>
    </row>
    <row r="863" spans="33:41" x14ac:dyDescent="0.25">
      <c r="AG863" s="65"/>
      <c r="AH863" s="65"/>
      <c r="AJ863" s="184" t="s">
        <v>1028</v>
      </c>
      <c r="AK863" s="184" t="s">
        <v>135</v>
      </c>
      <c r="AL863" s="184" t="s">
        <v>1430</v>
      </c>
      <c r="AM863" s="184" t="s">
        <v>1435</v>
      </c>
      <c r="AN863" s="184" t="s">
        <v>1535</v>
      </c>
      <c r="AO863" s="184">
        <v>12</v>
      </c>
    </row>
    <row r="864" spans="33:41" x14ac:dyDescent="0.25">
      <c r="AG864" s="65"/>
      <c r="AH864" s="65"/>
      <c r="AJ864" s="184" t="s">
        <v>1029</v>
      </c>
      <c r="AK864" s="184" t="s">
        <v>135</v>
      </c>
      <c r="AL864" s="184" t="s">
        <v>1430</v>
      </c>
      <c r="AM864" s="184" t="s">
        <v>1435</v>
      </c>
      <c r="AN864" s="184" t="s">
        <v>1535</v>
      </c>
      <c r="AO864" s="184">
        <v>12</v>
      </c>
    </row>
    <row r="865" spans="33:41" x14ac:dyDescent="0.25">
      <c r="AG865" s="65"/>
      <c r="AH865" s="65"/>
      <c r="AJ865" s="184" t="s">
        <v>1030</v>
      </c>
      <c r="AK865" s="184" t="s">
        <v>135</v>
      </c>
      <c r="AL865" s="184" t="s">
        <v>1430</v>
      </c>
      <c r="AM865" s="184" t="s">
        <v>1492</v>
      </c>
      <c r="AN865" s="184" t="s">
        <v>1538</v>
      </c>
      <c r="AO865" s="184">
        <v>12</v>
      </c>
    </row>
    <row r="866" spans="33:41" x14ac:dyDescent="0.25">
      <c r="AG866" s="65"/>
      <c r="AH866" s="65"/>
      <c r="AJ866" s="184" t="s">
        <v>1031</v>
      </c>
      <c r="AK866" s="184" t="s">
        <v>135</v>
      </c>
      <c r="AL866" s="184" t="s">
        <v>1430</v>
      </c>
      <c r="AM866" s="184" t="s">
        <v>1435</v>
      </c>
      <c r="AN866" s="184" t="s">
        <v>1535</v>
      </c>
      <c r="AO866" s="184">
        <v>12</v>
      </c>
    </row>
    <row r="867" spans="33:41" x14ac:dyDescent="0.25">
      <c r="AG867" s="65"/>
      <c r="AH867" s="65"/>
      <c r="AJ867" s="184" t="s">
        <v>1032</v>
      </c>
      <c r="AK867" s="184" t="s">
        <v>135</v>
      </c>
      <c r="AL867" s="184" t="s">
        <v>1430</v>
      </c>
      <c r="AM867" s="184" t="s">
        <v>1492</v>
      </c>
      <c r="AN867" s="184" t="s">
        <v>1538</v>
      </c>
      <c r="AO867" s="184">
        <v>12</v>
      </c>
    </row>
    <row r="868" spans="33:41" x14ac:dyDescent="0.25">
      <c r="AG868" s="65"/>
      <c r="AH868" s="65"/>
      <c r="AJ868" s="184" t="s">
        <v>1033</v>
      </c>
      <c r="AK868" s="184" t="s">
        <v>135</v>
      </c>
      <c r="AL868" s="184" t="s">
        <v>1430</v>
      </c>
      <c r="AM868" s="184" t="s">
        <v>1492</v>
      </c>
      <c r="AN868" s="184" t="s">
        <v>1538</v>
      </c>
      <c r="AO868" s="184">
        <v>12</v>
      </c>
    </row>
    <row r="869" spans="33:41" x14ac:dyDescent="0.25">
      <c r="AG869" s="65"/>
      <c r="AH869" s="65"/>
      <c r="AJ869" s="184" t="s">
        <v>1034</v>
      </c>
      <c r="AK869" s="184" t="s">
        <v>135</v>
      </c>
      <c r="AL869" s="184" t="s">
        <v>1430</v>
      </c>
      <c r="AM869" s="184" t="s">
        <v>1435</v>
      </c>
      <c r="AN869" s="184" t="s">
        <v>1535</v>
      </c>
      <c r="AO869" s="184">
        <v>12</v>
      </c>
    </row>
    <row r="870" spans="33:41" x14ac:dyDescent="0.25">
      <c r="AG870" s="65"/>
      <c r="AH870" s="65"/>
      <c r="AJ870" s="184" t="s">
        <v>1035</v>
      </c>
      <c r="AK870" s="184" t="s">
        <v>135</v>
      </c>
      <c r="AL870" s="184" t="s">
        <v>1430</v>
      </c>
      <c r="AM870" s="184" t="s">
        <v>1492</v>
      </c>
      <c r="AN870" s="184" t="s">
        <v>1538</v>
      </c>
      <c r="AO870" s="184">
        <v>12</v>
      </c>
    </row>
    <row r="871" spans="33:41" x14ac:dyDescent="0.25">
      <c r="AG871" s="65"/>
      <c r="AH871" s="65"/>
      <c r="AJ871" s="184" t="s">
        <v>1036</v>
      </c>
      <c r="AK871" s="184" t="s">
        <v>100</v>
      </c>
      <c r="AL871" s="184" t="s">
        <v>1430</v>
      </c>
      <c r="AM871" s="184" t="s">
        <v>1471</v>
      </c>
      <c r="AN871" s="184" t="s">
        <v>1471</v>
      </c>
      <c r="AO871" s="184">
        <v>12</v>
      </c>
    </row>
    <row r="872" spans="33:41" x14ac:dyDescent="0.25">
      <c r="AG872" s="65"/>
      <c r="AH872" s="65"/>
      <c r="AJ872" s="184" t="s">
        <v>1037</v>
      </c>
      <c r="AK872" s="184" t="s">
        <v>100</v>
      </c>
      <c r="AL872" s="184" t="s">
        <v>1430</v>
      </c>
      <c r="AM872" s="184" t="s">
        <v>1471</v>
      </c>
      <c r="AN872" s="184" t="s">
        <v>1471</v>
      </c>
      <c r="AO872" s="184">
        <v>12</v>
      </c>
    </row>
    <row r="873" spans="33:41" x14ac:dyDescent="0.25">
      <c r="AG873" s="65"/>
      <c r="AH873" s="65"/>
      <c r="AJ873" s="184" t="s">
        <v>1038</v>
      </c>
      <c r="AK873" s="184" t="s">
        <v>100</v>
      </c>
      <c r="AL873" s="184" t="s">
        <v>1430</v>
      </c>
      <c r="AM873" s="184" t="s">
        <v>1471</v>
      </c>
      <c r="AN873" s="184" t="s">
        <v>1471</v>
      </c>
      <c r="AO873" s="184">
        <v>12</v>
      </c>
    </row>
    <row r="874" spans="33:41" x14ac:dyDescent="0.25">
      <c r="AG874" s="65"/>
      <c r="AH874" s="65"/>
      <c r="AJ874" s="184" t="s">
        <v>1039</v>
      </c>
      <c r="AK874" s="184" t="s">
        <v>100</v>
      </c>
      <c r="AL874" s="184" t="s">
        <v>1430</v>
      </c>
      <c r="AM874" s="184" t="s">
        <v>1471</v>
      </c>
      <c r="AN874" s="184" t="s">
        <v>1471</v>
      </c>
      <c r="AO874" s="184">
        <v>12</v>
      </c>
    </row>
    <row r="875" spans="33:41" x14ac:dyDescent="0.25">
      <c r="AG875" s="65"/>
      <c r="AH875" s="65"/>
      <c r="AJ875" s="184" t="s">
        <v>1040</v>
      </c>
      <c r="AK875" s="184" t="s">
        <v>100</v>
      </c>
      <c r="AL875" s="184" t="s">
        <v>1430</v>
      </c>
      <c r="AM875" s="184" t="s">
        <v>1471</v>
      </c>
      <c r="AN875" s="184" t="s">
        <v>1471</v>
      </c>
      <c r="AO875" s="184">
        <v>12</v>
      </c>
    </row>
    <row r="876" spans="33:41" x14ac:dyDescent="0.25">
      <c r="AG876" s="65"/>
      <c r="AH876" s="65"/>
      <c r="AJ876" s="184" t="s">
        <v>1041</v>
      </c>
      <c r="AK876" s="184" t="s">
        <v>100</v>
      </c>
      <c r="AL876" s="184" t="s">
        <v>1430</v>
      </c>
      <c r="AM876" s="184" t="s">
        <v>1471</v>
      </c>
      <c r="AN876" s="184" t="s">
        <v>1471</v>
      </c>
      <c r="AO876" s="184">
        <v>12</v>
      </c>
    </row>
    <row r="877" spans="33:41" x14ac:dyDescent="0.25">
      <c r="AG877" s="65"/>
      <c r="AH877" s="65"/>
      <c r="AJ877" s="184" t="s">
        <v>1042</v>
      </c>
      <c r="AK877" s="184" t="s">
        <v>100</v>
      </c>
      <c r="AL877" s="184" t="s">
        <v>1430</v>
      </c>
      <c r="AM877" s="184" t="s">
        <v>1471</v>
      </c>
      <c r="AN877" s="184" t="s">
        <v>1471</v>
      </c>
      <c r="AO877" s="184">
        <v>12</v>
      </c>
    </row>
    <row r="878" spans="33:41" x14ac:dyDescent="0.25">
      <c r="AG878" s="65"/>
      <c r="AH878" s="65"/>
      <c r="AJ878" s="184" t="s">
        <v>1043</v>
      </c>
      <c r="AK878" s="184" t="s">
        <v>100</v>
      </c>
      <c r="AL878" s="184" t="s">
        <v>1430</v>
      </c>
      <c r="AM878" s="184" t="s">
        <v>1471</v>
      </c>
      <c r="AN878" s="184" t="s">
        <v>1471</v>
      </c>
      <c r="AO878" s="184">
        <v>12</v>
      </c>
    </row>
    <row r="879" spans="33:41" x14ac:dyDescent="0.25">
      <c r="AG879" s="65"/>
      <c r="AH879" s="65"/>
      <c r="AJ879" s="184" t="s">
        <v>1044</v>
      </c>
      <c r="AK879" s="184" t="s">
        <v>100</v>
      </c>
      <c r="AL879" s="184" t="s">
        <v>1430</v>
      </c>
      <c r="AM879" s="184" t="s">
        <v>1471</v>
      </c>
      <c r="AN879" s="184" t="s">
        <v>1471</v>
      </c>
      <c r="AO879" s="184">
        <v>12</v>
      </c>
    </row>
    <row r="880" spans="33:41" x14ac:dyDescent="0.25">
      <c r="AG880" s="65"/>
      <c r="AH880" s="65"/>
      <c r="AJ880" s="184" t="s">
        <v>1045</v>
      </c>
      <c r="AK880" s="184" t="s">
        <v>100</v>
      </c>
      <c r="AL880" s="184" t="s">
        <v>1430</v>
      </c>
      <c r="AM880" s="184" t="s">
        <v>1471</v>
      </c>
      <c r="AN880" s="184" t="s">
        <v>1471</v>
      </c>
      <c r="AO880" s="184">
        <v>12</v>
      </c>
    </row>
    <row r="881" spans="33:41" x14ac:dyDescent="0.25">
      <c r="AG881" s="65"/>
      <c r="AH881" s="65"/>
      <c r="AJ881" s="184" t="s">
        <v>1046</v>
      </c>
      <c r="AK881" s="184" t="s">
        <v>100</v>
      </c>
      <c r="AL881" s="184" t="s">
        <v>1430</v>
      </c>
      <c r="AM881" s="184" t="s">
        <v>1471</v>
      </c>
      <c r="AN881" s="184" t="s">
        <v>1471</v>
      </c>
      <c r="AO881" s="184">
        <v>12</v>
      </c>
    </row>
    <row r="882" spans="33:41" x14ac:dyDescent="0.25">
      <c r="AG882" s="65"/>
      <c r="AH882" s="65"/>
      <c r="AJ882" s="184" t="s">
        <v>1047</v>
      </c>
      <c r="AK882" s="184" t="s">
        <v>100</v>
      </c>
      <c r="AL882" s="184" t="s">
        <v>1430</v>
      </c>
      <c r="AM882" s="184" t="s">
        <v>1471</v>
      </c>
      <c r="AN882" s="184" t="s">
        <v>1471</v>
      </c>
      <c r="AO882" s="184">
        <v>12</v>
      </c>
    </row>
    <row r="883" spans="33:41" x14ac:dyDescent="0.25">
      <c r="AG883" s="65"/>
      <c r="AH883" s="65"/>
      <c r="AJ883" s="184" t="s">
        <v>1048</v>
      </c>
      <c r="AK883" s="184" t="s">
        <v>100</v>
      </c>
      <c r="AL883" s="184" t="s">
        <v>1430</v>
      </c>
      <c r="AM883" s="184" t="s">
        <v>1471</v>
      </c>
      <c r="AN883" s="184" t="s">
        <v>1471</v>
      </c>
      <c r="AO883" s="184">
        <v>12</v>
      </c>
    </row>
    <row r="884" spans="33:41" x14ac:dyDescent="0.25">
      <c r="AG884" s="65"/>
      <c r="AH884" s="65"/>
      <c r="AJ884" s="184" t="s">
        <v>1049</v>
      </c>
      <c r="AK884" s="184" t="s">
        <v>100</v>
      </c>
      <c r="AL884" s="184" t="s">
        <v>1430</v>
      </c>
      <c r="AM884" s="184" t="s">
        <v>1471</v>
      </c>
      <c r="AN884" s="184" t="s">
        <v>1471</v>
      </c>
      <c r="AO884" s="184">
        <v>12</v>
      </c>
    </row>
    <row r="885" spans="33:41" x14ac:dyDescent="0.25">
      <c r="AG885" s="65"/>
      <c r="AH885" s="65"/>
      <c r="AJ885" s="184" t="s">
        <v>1050</v>
      </c>
      <c r="AK885" s="184" t="s">
        <v>100</v>
      </c>
      <c r="AL885" s="184" t="s">
        <v>1430</v>
      </c>
      <c r="AM885" s="184" t="s">
        <v>1471</v>
      </c>
      <c r="AN885" s="184" t="s">
        <v>1471</v>
      </c>
      <c r="AO885" s="184">
        <v>12</v>
      </c>
    </row>
    <row r="886" spans="33:41" x14ac:dyDescent="0.25">
      <c r="AG886" s="65"/>
      <c r="AH886" s="65"/>
      <c r="AJ886" s="184" t="s">
        <v>1051</v>
      </c>
      <c r="AK886" s="184" t="s">
        <v>100</v>
      </c>
      <c r="AL886" s="184" t="s">
        <v>1430</v>
      </c>
      <c r="AM886" s="184" t="s">
        <v>1471</v>
      </c>
      <c r="AN886" s="184" t="s">
        <v>1471</v>
      </c>
      <c r="AO886" s="184">
        <v>12</v>
      </c>
    </row>
    <row r="887" spans="33:41" x14ac:dyDescent="0.25">
      <c r="AG887" s="65"/>
      <c r="AH887" s="65"/>
      <c r="AJ887" s="184" t="s">
        <v>1052</v>
      </c>
      <c r="AK887" s="184" t="s">
        <v>100</v>
      </c>
      <c r="AL887" s="184" t="s">
        <v>1430</v>
      </c>
      <c r="AM887" s="184" t="s">
        <v>1471</v>
      </c>
      <c r="AN887" s="184" t="s">
        <v>1471</v>
      </c>
      <c r="AO887" s="184">
        <v>12</v>
      </c>
    </row>
    <row r="888" spans="33:41" x14ac:dyDescent="0.25">
      <c r="AG888" s="65"/>
      <c r="AH888" s="66"/>
      <c r="AJ888" s="184" t="s">
        <v>1053</v>
      </c>
      <c r="AK888" s="184" t="s">
        <v>100</v>
      </c>
      <c r="AL888" s="184" t="s">
        <v>1430</v>
      </c>
      <c r="AM888" s="184" t="s">
        <v>1471</v>
      </c>
      <c r="AN888" s="184" t="s">
        <v>1471</v>
      </c>
      <c r="AO888" s="184">
        <v>12</v>
      </c>
    </row>
    <row r="889" spans="33:41" x14ac:dyDescent="0.25">
      <c r="AG889" s="65"/>
      <c r="AH889" s="66"/>
      <c r="AJ889" s="184" t="s">
        <v>1054</v>
      </c>
      <c r="AK889" s="184" t="s">
        <v>100</v>
      </c>
      <c r="AL889" s="184" t="s">
        <v>1430</v>
      </c>
      <c r="AM889" s="184" t="s">
        <v>1471</v>
      </c>
      <c r="AN889" s="184" t="s">
        <v>1471</v>
      </c>
      <c r="AO889" s="184">
        <v>12</v>
      </c>
    </row>
    <row r="890" spans="33:41" x14ac:dyDescent="0.25">
      <c r="AG890" s="65"/>
      <c r="AH890" s="66"/>
      <c r="AJ890" s="184" t="s">
        <v>1055</v>
      </c>
      <c r="AK890" s="184" t="s">
        <v>100</v>
      </c>
      <c r="AL890" s="184" t="s">
        <v>1430</v>
      </c>
      <c r="AM890" s="184" t="s">
        <v>1471</v>
      </c>
      <c r="AN890" s="184" t="s">
        <v>1471</v>
      </c>
      <c r="AO890" s="184">
        <v>12</v>
      </c>
    </row>
    <row r="891" spans="33:41" x14ac:dyDescent="0.25">
      <c r="AG891" s="65"/>
      <c r="AH891" s="65"/>
      <c r="AJ891" s="184" t="s">
        <v>1056</v>
      </c>
      <c r="AK891" s="184" t="s">
        <v>100</v>
      </c>
      <c r="AL891" s="184" t="s">
        <v>1430</v>
      </c>
      <c r="AM891" s="184" t="s">
        <v>1471</v>
      </c>
      <c r="AN891" s="184" t="s">
        <v>1471</v>
      </c>
      <c r="AO891" s="184">
        <v>12</v>
      </c>
    </row>
    <row r="892" spans="33:41" x14ac:dyDescent="0.25">
      <c r="AG892" s="65"/>
      <c r="AH892" s="65"/>
      <c r="AJ892" s="184" t="s">
        <v>1057</v>
      </c>
      <c r="AK892" s="184" t="s">
        <v>100</v>
      </c>
      <c r="AL892" s="184" t="s">
        <v>1430</v>
      </c>
      <c r="AM892" s="184" t="s">
        <v>1471</v>
      </c>
      <c r="AN892" s="184" t="s">
        <v>1471</v>
      </c>
      <c r="AO892" s="184">
        <v>12</v>
      </c>
    </row>
    <row r="893" spans="33:41" x14ac:dyDescent="0.25">
      <c r="AG893" s="65"/>
      <c r="AH893" s="65"/>
      <c r="AJ893" s="184" t="s">
        <v>1058</v>
      </c>
      <c r="AK893" s="184" t="s">
        <v>100</v>
      </c>
      <c r="AL893" s="184" t="s">
        <v>1430</v>
      </c>
      <c r="AM893" s="184" t="s">
        <v>1471</v>
      </c>
      <c r="AN893" s="184" t="s">
        <v>1471</v>
      </c>
      <c r="AO893" s="184">
        <v>12</v>
      </c>
    </row>
    <row r="894" spans="33:41" x14ac:dyDescent="0.25">
      <c r="AG894" s="65"/>
      <c r="AH894" s="65"/>
      <c r="AJ894" s="184" t="s">
        <v>1059</v>
      </c>
      <c r="AK894" s="184" t="s">
        <v>100</v>
      </c>
      <c r="AL894" s="184" t="s">
        <v>1430</v>
      </c>
      <c r="AM894" s="184" t="s">
        <v>1471</v>
      </c>
      <c r="AN894" s="184" t="s">
        <v>1471</v>
      </c>
      <c r="AO894" s="184">
        <v>12</v>
      </c>
    </row>
    <row r="895" spans="33:41" x14ac:dyDescent="0.25">
      <c r="AG895" s="65"/>
      <c r="AH895" s="65"/>
      <c r="AJ895" s="184" t="s">
        <v>1060</v>
      </c>
      <c r="AK895" s="184" t="s">
        <v>100</v>
      </c>
      <c r="AL895" s="184" t="s">
        <v>1430</v>
      </c>
      <c r="AM895" s="184" t="s">
        <v>1471</v>
      </c>
      <c r="AN895" s="184" t="s">
        <v>1471</v>
      </c>
      <c r="AO895" s="184">
        <v>12</v>
      </c>
    </row>
    <row r="896" spans="33:41" x14ac:dyDescent="0.25">
      <c r="AG896" s="65"/>
      <c r="AH896" s="65"/>
      <c r="AJ896" s="184" t="s">
        <v>1061</v>
      </c>
      <c r="AK896" s="184" t="s">
        <v>100</v>
      </c>
      <c r="AL896" s="184" t="s">
        <v>1430</v>
      </c>
      <c r="AM896" s="184" t="s">
        <v>1471</v>
      </c>
      <c r="AN896" s="184" t="s">
        <v>1471</v>
      </c>
      <c r="AO896" s="184">
        <v>12</v>
      </c>
    </row>
    <row r="897" spans="33:41" x14ac:dyDescent="0.25">
      <c r="AG897" s="65"/>
      <c r="AH897" s="65"/>
      <c r="AJ897" s="184" t="s">
        <v>1062</v>
      </c>
      <c r="AK897" s="184" t="s">
        <v>100</v>
      </c>
      <c r="AL897" s="184" t="s">
        <v>1430</v>
      </c>
      <c r="AM897" s="184" t="s">
        <v>1471</v>
      </c>
      <c r="AN897" s="184" t="s">
        <v>1471</v>
      </c>
      <c r="AO897" s="184">
        <v>12</v>
      </c>
    </row>
    <row r="898" spans="33:41" x14ac:dyDescent="0.25">
      <c r="AG898" s="65"/>
      <c r="AH898" s="65"/>
      <c r="AJ898" s="184" t="s">
        <v>1063</v>
      </c>
      <c r="AK898" s="184" t="s">
        <v>100</v>
      </c>
      <c r="AL898" s="184" t="s">
        <v>1430</v>
      </c>
      <c r="AM898" s="184" t="s">
        <v>1471</v>
      </c>
      <c r="AN898" s="184" t="s">
        <v>1471</v>
      </c>
      <c r="AO898" s="184">
        <v>12</v>
      </c>
    </row>
    <row r="899" spans="33:41" x14ac:dyDescent="0.25">
      <c r="AG899" s="65"/>
      <c r="AH899" s="65"/>
      <c r="AJ899" s="184" t="s">
        <v>1064</v>
      </c>
      <c r="AK899" s="184" t="s">
        <v>100</v>
      </c>
      <c r="AL899" s="184" t="s">
        <v>1430</v>
      </c>
      <c r="AM899" s="184" t="s">
        <v>1471</v>
      </c>
      <c r="AN899" s="184" t="s">
        <v>1471</v>
      </c>
      <c r="AO899" s="184">
        <v>12</v>
      </c>
    </row>
    <row r="900" spans="33:41" x14ac:dyDescent="0.25">
      <c r="AG900" s="65"/>
      <c r="AH900" s="65"/>
      <c r="AJ900" s="184" t="s">
        <v>1065</v>
      </c>
      <c r="AK900" s="184" t="s">
        <v>100</v>
      </c>
      <c r="AL900" s="184" t="s">
        <v>1430</v>
      </c>
      <c r="AM900" s="184" t="s">
        <v>1471</v>
      </c>
      <c r="AN900" s="184" t="s">
        <v>1471</v>
      </c>
      <c r="AO900" s="184">
        <v>12</v>
      </c>
    </row>
    <row r="901" spans="33:41" x14ac:dyDescent="0.25">
      <c r="AG901" s="65"/>
      <c r="AH901" s="65"/>
      <c r="AJ901" s="184" t="s">
        <v>1066</v>
      </c>
      <c r="AK901" s="184" t="s">
        <v>100</v>
      </c>
      <c r="AL901" s="184" t="s">
        <v>1430</v>
      </c>
      <c r="AM901" s="184" t="s">
        <v>1471</v>
      </c>
      <c r="AN901" s="184" t="s">
        <v>1471</v>
      </c>
      <c r="AO901" s="184">
        <v>12</v>
      </c>
    </row>
    <row r="902" spans="33:41" x14ac:dyDescent="0.25">
      <c r="AG902" s="65"/>
      <c r="AH902" s="65"/>
      <c r="AJ902" s="184" t="s">
        <v>1067</v>
      </c>
      <c r="AK902" s="184" t="s">
        <v>100</v>
      </c>
      <c r="AL902" s="184" t="s">
        <v>1430</v>
      </c>
      <c r="AM902" s="184" t="s">
        <v>1471</v>
      </c>
      <c r="AN902" s="184" t="s">
        <v>1471</v>
      </c>
      <c r="AO902" s="184">
        <v>12</v>
      </c>
    </row>
    <row r="903" spans="33:41" x14ac:dyDescent="0.25">
      <c r="AG903" s="65"/>
      <c r="AH903" s="65"/>
      <c r="AJ903" s="184" t="s">
        <v>1068</v>
      </c>
      <c r="AK903" s="184" t="s">
        <v>100</v>
      </c>
      <c r="AL903" s="184" t="s">
        <v>1430</v>
      </c>
      <c r="AM903" s="184" t="s">
        <v>1471</v>
      </c>
      <c r="AN903" s="184" t="s">
        <v>1471</v>
      </c>
      <c r="AO903" s="184">
        <v>12</v>
      </c>
    </row>
    <row r="904" spans="33:41" x14ac:dyDescent="0.25">
      <c r="AG904" s="65"/>
      <c r="AH904" s="65"/>
      <c r="AJ904" s="184" t="s">
        <v>1069</v>
      </c>
      <c r="AK904" s="184" t="s">
        <v>100</v>
      </c>
      <c r="AL904" s="184" t="s">
        <v>1430</v>
      </c>
      <c r="AM904" s="184" t="s">
        <v>1471</v>
      </c>
      <c r="AN904" s="184" t="s">
        <v>1471</v>
      </c>
      <c r="AO904" s="184">
        <v>12</v>
      </c>
    </row>
    <row r="905" spans="33:41" x14ac:dyDescent="0.25">
      <c r="AG905" s="65"/>
      <c r="AH905" s="65"/>
      <c r="AJ905" s="184" t="s">
        <v>1070</v>
      </c>
      <c r="AK905" s="184" t="s">
        <v>100</v>
      </c>
      <c r="AL905" s="184" t="s">
        <v>1430</v>
      </c>
      <c r="AM905" s="184" t="s">
        <v>1471</v>
      </c>
      <c r="AN905" s="184" t="s">
        <v>1471</v>
      </c>
      <c r="AO905" s="184">
        <v>12</v>
      </c>
    </row>
    <row r="906" spans="33:41" x14ac:dyDescent="0.25">
      <c r="AG906" s="65"/>
      <c r="AH906" s="65"/>
      <c r="AJ906" s="184" t="s">
        <v>1071</v>
      </c>
      <c r="AK906" s="184" t="s">
        <v>100</v>
      </c>
      <c r="AL906" s="184" t="s">
        <v>1430</v>
      </c>
      <c r="AM906" s="184" t="s">
        <v>1471</v>
      </c>
      <c r="AN906" s="184" t="s">
        <v>1471</v>
      </c>
      <c r="AO906" s="184">
        <v>12</v>
      </c>
    </row>
    <row r="907" spans="33:41" x14ac:dyDescent="0.25">
      <c r="AG907" s="65"/>
      <c r="AH907" s="65"/>
      <c r="AJ907" s="184" t="s">
        <v>1072</v>
      </c>
      <c r="AK907" s="184" t="s">
        <v>100</v>
      </c>
      <c r="AL907" s="184" t="s">
        <v>1430</v>
      </c>
      <c r="AM907" s="184" t="s">
        <v>1471</v>
      </c>
      <c r="AN907" s="184" t="s">
        <v>1471</v>
      </c>
      <c r="AO907" s="184">
        <v>12</v>
      </c>
    </row>
    <row r="908" spans="33:41" x14ac:dyDescent="0.25">
      <c r="AG908" s="65"/>
      <c r="AH908" s="65"/>
      <c r="AJ908" s="184" t="s">
        <v>1073</v>
      </c>
      <c r="AK908" s="184" t="s">
        <v>100</v>
      </c>
      <c r="AL908" s="184" t="s">
        <v>1430</v>
      </c>
      <c r="AM908" s="184" t="s">
        <v>1471</v>
      </c>
      <c r="AN908" s="184" t="s">
        <v>1471</v>
      </c>
      <c r="AO908" s="184">
        <v>12</v>
      </c>
    </row>
    <row r="909" spans="33:41" x14ac:dyDescent="0.25">
      <c r="AG909" s="65"/>
      <c r="AH909" s="65"/>
      <c r="AJ909" s="184" t="s">
        <v>1074</v>
      </c>
      <c r="AK909" s="184" t="s">
        <v>100</v>
      </c>
      <c r="AL909" s="184" t="s">
        <v>1430</v>
      </c>
      <c r="AM909" s="184" t="s">
        <v>1471</v>
      </c>
      <c r="AN909" s="184" t="s">
        <v>1471</v>
      </c>
      <c r="AO909" s="184">
        <v>12</v>
      </c>
    </row>
    <row r="910" spans="33:41" x14ac:dyDescent="0.25">
      <c r="AG910" s="65"/>
      <c r="AH910" s="65"/>
      <c r="AJ910" s="184" t="s">
        <v>1075</v>
      </c>
      <c r="AK910" s="184" t="s">
        <v>100</v>
      </c>
      <c r="AL910" s="184" t="s">
        <v>1430</v>
      </c>
      <c r="AM910" s="184" t="s">
        <v>1471</v>
      </c>
      <c r="AN910" s="184" t="s">
        <v>1471</v>
      </c>
      <c r="AO910" s="184">
        <v>12</v>
      </c>
    </row>
    <row r="911" spans="33:41" x14ac:dyDescent="0.25">
      <c r="AG911" s="65"/>
      <c r="AH911" s="65"/>
      <c r="AJ911" s="184" t="s">
        <v>1076</v>
      </c>
      <c r="AK911" s="184" t="s">
        <v>100</v>
      </c>
      <c r="AL911" s="184" t="s">
        <v>1430</v>
      </c>
      <c r="AM911" s="184" t="s">
        <v>1471</v>
      </c>
      <c r="AN911" s="184" t="s">
        <v>1471</v>
      </c>
      <c r="AO911" s="184">
        <v>12</v>
      </c>
    </row>
    <row r="912" spans="33:41" x14ac:dyDescent="0.25">
      <c r="AG912" s="65"/>
      <c r="AH912" s="65"/>
      <c r="AJ912" s="184" t="s">
        <v>1077</v>
      </c>
      <c r="AK912" s="184" t="s">
        <v>100</v>
      </c>
      <c r="AL912" s="184" t="s">
        <v>1430</v>
      </c>
      <c r="AM912" s="184" t="s">
        <v>1471</v>
      </c>
      <c r="AN912" s="184" t="s">
        <v>1471</v>
      </c>
      <c r="AO912" s="184">
        <v>12</v>
      </c>
    </row>
    <row r="913" spans="33:41" x14ac:dyDescent="0.25">
      <c r="AG913" s="65"/>
      <c r="AH913" s="65"/>
      <c r="AJ913" s="184" t="s">
        <v>1078</v>
      </c>
      <c r="AK913" s="184" t="s">
        <v>100</v>
      </c>
      <c r="AL913" s="184" t="s">
        <v>1430</v>
      </c>
      <c r="AM913" s="184" t="s">
        <v>1471</v>
      </c>
      <c r="AN913" s="184" t="s">
        <v>1471</v>
      </c>
      <c r="AO913" s="184">
        <v>12</v>
      </c>
    </row>
    <row r="914" spans="33:41" x14ac:dyDescent="0.25">
      <c r="AG914" s="65"/>
      <c r="AH914" s="65"/>
      <c r="AJ914" s="184" t="s">
        <v>1079</v>
      </c>
      <c r="AK914" s="184" t="s">
        <v>100</v>
      </c>
      <c r="AL914" s="184" t="s">
        <v>1430</v>
      </c>
      <c r="AM914" s="184" t="s">
        <v>1471</v>
      </c>
      <c r="AN914" s="184" t="s">
        <v>1471</v>
      </c>
      <c r="AO914" s="184">
        <v>12</v>
      </c>
    </row>
    <row r="915" spans="33:41" x14ac:dyDescent="0.25">
      <c r="AG915" s="65"/>
      <c r="AH915" s="65"/>
      <c r="AJ915" s="184" t="s">
        <v>1080</v>
      </c>
      <c r="AK915" s="184" t="s">
        <v>1415</v>
      </c>
      <c r="AL915" s="184" t="s">
        <v>1430</v>
      </c>
      <c r="AM915" s="184" t="s">
        <v>1510</v>
      </c>
      <c r="AN915" s="184" t="s">
        <v>137</v>
      </c>
      <c r="AO915" s="184">
        <v>12</v>
      </c>
    </row>
    <row r="916" spans="33:41" x14ac:dyDescent="0.25">
      <c r="AG916" s="65"/>
      <c r="AH916" s="65"/>
      <c r="AJ916" s="184" t="s">
        <v>1081</v>
      </c>
      <c r="AK916" s="184" t="s">
        <v>100</v>
      </c>
      <c r="AL916" s="184" t="s">
        <v>1430</v>
      </c>
      <c r="AM916" s="184" t="s">
        <v>1510</v>
      </c>
      <c r="AN916" s="184" t="s">
        <v>137</v>
      </c>
      <c r="AO916" s="184">
        <v>12</v>
      </c>
    </row>
    <row r="917" spans="33:41" x14ac:dyDescent="0.25">
      <c r="AG917" s="65"/>
      <c r="AH917" s="65"/>
      <c r="AJ917" s="184" t="s">
        <v>1082</v>
      </c>
      <c r="AK917" s="184" t="s">
        <v>100</v>
      </c>
      <c r="AL917" s="184" t="s">
        <v>1430</v>
      </c>
      <c r="AM917" s="184" t="s">
        <v>1510</v>
      </c>
      <c r="AN917" s="184" t="s">
        <v>137</v>
      </c>
      <c r="AO917" s="184">
        <v>12</v>
      </c>
    </row>
    <row r="918" spans="33:41" x14ac:dyDescent="0.25">
      <c r="AG918" s="65"/>
      <c r="AH918" s="65"/>
      <c r="AJ918" s="184" t="s">
        <v>1083</v>
      </c>
      <c r="AK918" s="184" t="s">
        <v>1415</v>
      </c>
      <c r="AL918" s="184" t="s">
        <v>1430</v>
      </c>
      <c r="AM918" s="184" t="s">
        <v>1452</v>
      </c>
      <c r="AN918" s="184" t="s">
        <v>137</v>
      </c>
      <c r="AO918" s="184">
        <v>12</v>
      </c>
    </row>
    <row r="919" spans="33:41" x14ac:dyDescent="0.25">
      <c r="AG919" s="65"/>
      <c r="AH919" s="65"/>
      <c r="AJ919" s="184" t="s">
        <v>1084</v>
      </c>
      <c r="AK919" s="184" t="s">
        <v>150</v>
      </c>
      <c r="AL919" s="184" t="s">
        <v>1430</v>
      </c>
      <c r="AM919" s="184" t="s">
        <v>1452</v>
      </c>
      <c r="AN919" s="184" t="s">
        <v>137</v>
      </c>
      <c r="AO919" s="184">
        <v>12</v>
      </c>
    </row>
    <row r="920" spans="33:41" x14ac:dyDescent="0.25">
      <c r="AG920" s="65"/>
      <c r="AH920" s="65"/>
      <c r="AJ920" s="184" t="s">
        <v>1085</v>
      </c>
      <c r="AK920" s="184" t="s">
        <v>135</v>
      </c>
      <c r="AL920" s="184" t="s">
        <v>1430</v>
      </c>
      <c r="AM920" s="184" t="s">
        <v>1491</v>
      </c>
      <c r="AN920" s="184" t="s">
        <v>1538</v>
      </c>
      <c r="AO920" s="184">
        <v>12</v>
      </c>
    </row>
    <row r="921" spans="33:41" x14ac:dyDescent="0.25">
      <c r="AG921" s="65"/>
      <c r="AH921" s="65"/>
      <c r="AJ921" s="184" t="s">
        <v>1086</v>
      </c>
      <c r="AK921" s="184" t="s">
        <v>100</v>
      </c>
      <c r="AL921" s="184" t="s">
        <v>1430</v>
      </c>
      <c r="AM921" s="184" t="s">
        <v>1507</v>
      </c>
      <c r="AN921" s="184" t="s">
        <v>1540</v>
      </c>
      <c r="AO921" s="184">
        <v>12</v>
      </c>
    </row>
    <row r="922" spans="33:41" x14ac:dyDescent="0.25">
      <c r="AG922" s="65"/>
      <c r="AH922" s="65"/>
      <c r="AJ922" s="184" t="s">
        <v>1087</v>
      </c>
      <c r="AK922" s="184" t="s">
        <v>100</v>
      </c>
      <c r="AL922" s="184" t="s">
        <v>1430</v>
      </c>
      <c r="AM922" s="184" t="s">
        <v>1507</v>
      </c>
      <c r="AN922" s="184" t="s">
        <v>1540</v>
      </c>
      <c r="AO922" s="184">
        <v>12</v>
      </c>
    </row>
    <row r="923" spans="33:41" x14ac:dyDescent="0.25">
      <c r="AG923" s="65"/>
      <c r="AH923" s="65"/>
      <c r="AJ923" s="184" t="s">
        <v>1088</v>
      </c>
      <c r="AK923" s="184" t="s">
        <v>100</v>
      </c>
      <c r="AL923" s="184" t="s">
        <v>1430</v>
      </c>
      <c r="AM923" s="184" t="s">
        <v>1507</v>
      </c>
      <c r="AN923" s="184" t="s">
        <v>1540</v>
      </c>
      <c r="AO923" s="184">
        <v>12</v>
      </c>
    </row>
    <row r="924" spans="33:41" x14ac:dyDescent="0.25">
      <c r="AG924" s="65"/>
      <c r="AH924" s="65"/>
      <c r="AJ924" s="184" t="s">
        <v>1089</v>
      </c>
      <c r="AK924" s="184" t="s">
        <v>100</v>
      </c>
      <c r="AL924" s="184" t="s">
        <v>1430</v>
      </c>
      <c r="AM924" s="184" t="s">
        <v>1507</v>
      </c>
      <c r="AN924" s="184" t="s">
        <v>1540</v>
      </c>
      <c r="AO924" s="184">
        <v>12</v>
      </c>
    </row>
    <row r="925" spans="33:41" x14ac:dyDescent="0.25">
      <c r="AG925" s="65"/>
      <c r="AH925" s="65"/>
      <c r="AJ925" s="184" t="s">
        <v>1090</v>
      </c>
      <c r="AK925" s="184" t="s">
        <v>100</v>
      </c>
      <c r="AL925" s="184" t="s">
        <v>1430</v>
      </c>
      <c r="AM925" s="184" t="s">
        <v>1507</v>
      </c>
      <c r="AN925" s="184" t="s">
        <v>1540</v>
      </c>
      <c r="AO925" s="184">
        <v>12</v>
      </c>
    </row>
    <row r="926" spans="33:41" x14ac:dyDescent="0.25">
      <c r="AG926" s="65"/>
      <c r="AH926" s="65"/>
      <c r="AJ926" s="184" t="s">
        <v>1091</v>
      </c>
      <c r="AK926" s="184" t="s">
        <v>100</v>
      </c>
      <c r="AL926" s="184" t="s">
        <v>1430</v>
      </c>
      <c r="AM926" s="184" t="s">
        <v>1507</v>
      </c>
      <c r="AN926" s="184" t="s">
        <v>1540</v>
      </c>
      <c r="AO926" s="184">
        <v>12</v>
      </c>
    </row>
    <row r="927" spans="33:41" x14ac:dyDescent="0.25">
      <c r="AG927" s="65"/>
      <c r="AH927" s="65"/>
      <c r="AJ927" s="184" t="s">
        <v>1092</v>
      </c>
      <c r="AK927" s="184" t="s">
        <v>100</v>
      </c>
      <c r="AL927" s="184" t="s">
        <v>1430</v>
      </c>
      <c r="AM927" s="184" t="s">
        <v>1507</v>
      </c>
      <c r="AN927" s="184" t="s">
        <v>1540</v>
      </c>
      <c r="AO927" s="184">
        <v>12</v>
      </c>
    </row>
    <row r="928" spans="33:41" x14ac:dyDescent="0.25">
      <c r="AG928" s="65"/>
      <c r="AH928" s="65"/>
      <c r="AJ928" s="184" t="s">
        <v>1093</v>
      </c>
      <c r="AK928" s="184" t="s">
        <v>100</v>
      </c>
      <c r="AL928" s="184" t="s">
        <v>1430</v>
      </c>
      <c r="AM928" s="184" t="s">
        <v>1507</v>
      </c>
      <c r="AN928" s="184" t="s">
        <v>1540</v>
      </c>
      <c r="AO928" s="184">
        <v>12</v>
      </c>
    </row>
    <row r="929" spans="33:41" x14ac:dyDescent="0.25">
      <c r="AG929" s="65"/>
      <c r="AH929" s="65"/>
      <c r="AJ929" s="184" t="s">
        <v>1094</v>
      </c>
      <c r="AK929" s="184" t="s">
        <v>100</v>
      </c>
      <c r="AL929" s="184" t="s">
        <v>1430</v>
      </c>
      <c r="AM929" s="184" t="s">
        <v>1507</v>
      </c>
      <c r="AN929" s="184" t="s">
        <v>1540</v>
      </c>
      <c r="AO929" s="184">
        <v>12</v>
      </c>
    </row>
    <row r="930" spans="33:41" x14ac:dyDescent="0.25">
      <c r="AG930" s="65"/>
      <c r="AH930" s="65"/>
      <c r="AJ930" s="184" t="s">
        <v>1095</v>
      </c>
      <c r="AK930" s="184" t="s">
        <v>100</v>
      </c>
      <c r="AL930" s="184" t="s">
        <v>1430</v>
      </c>
      <c r="AM930" s="184" t="s">
        <v>1507</v>
      </c>
      <c r="AN930" s="184" t="s">
        <v>1540</v>
      </c>
      <c r="AO930" s="184">
        <v>12</v>
      </c>
    </row>
    <row r="931" spans="33:41" x14ac:dyDescent="0.25">
      <c r="AG931" s="65"/>
      <c r="AH931" s="66"/>
      <c r="AJ931" s="184" t="s">
        <v>1096</v>
      </c>
      <c r="AK931" s="184" t="s">
        <v>100</v>
      </c>
      <c r="AL931" s="184" t="s">
        <v>1430</v>
      </c>
      <c r="AM931" s="184" t="s">
        <v>1507</v>
      </c>
      <c r="AN931" s="184" t="s">
        <v>1540</v>
      </c>
      <c r="AO931" s="184">
        <v>12</v>
      </c>
    </row>
    <row r="932" spans="33:41" x14ac:dyDescent="0.25">
      <c r="AG932" s="65"/>
      <c r="AH932" s="66"/>
      <c r="AJ932" s="184" t="s">
        <v>1097</v>
      </c>
      <c r="AK932" s="184" t="s">
        <v>100</v>
      </c>
      <c r="AL932" s="184" t="s">
        <v>1430</v>
      </c>
      <c r="AM932" s="184" t="s">
        <v>1507</v>
      </c>
      <c r="AN932" s="184" t="s">
        <v>1540</v>
      </c>
      <c r="AO932" s="184">
        <v>12</v>
      </c>
    </row>
    <row r="933" spans="33:41" x14ac:dyDescent="0.25">
      <c r="AG933" s="65"/>
      <c r="AH933" s="65"/>
      <c r="AJ933" s="184" t="s">
        <v>1098</v>
      </c>
      <c r="AK933" s="184" t="s">
        <v>100</v>
      </c>
      <c r="AL933" s="184" t="s">
        <v>1430</v>
      </c>
      <c r="AM933" s="184" t="s">
        <v>1507</v>
      </c>
      <c r="AN933" s="184" t="s">
        <v>1540</v>
      </c>
      <c r="AO933" s="184">
        <v>12</v>
      </c>
    </row>
    <row r="934" spans="33:41" x14ac:dyDescent="0.25">
      <c r="AG934" s="65"/>
      <c r="AH934" s="65"/>
      <c r="AJ934" s="184" t="s">
        <v>1099</v>
      </c>
      <c r="AK934" s="184" t="s">
        <v>100</v>
      </c>
      <c r="AL934" s="184" t="s">
        <v>1430</v>
      </c>
      <c r="AM934" s="184" t="s">
        <v>1507</v>
      </c>
      <c r="AN934" s="184" t="s">
        <v>1540</v>
      </c>
      <c r="AO934" s="184">
        <v>12</v>
      </c>
    </row>
    <row r="935" spans="33:41" x14ac:dyDescent="0.25">
      <c r="AJ935" s="184" t="s">
        <v>1100</v>
      </c>
      <c r="AK935" s="184" t="s">
        <v>100</v>
      </c>
      <c r="AL935" s="184" t="s">
        <v>1430</v>
      </c>
      <c r="AM935" s="184" t="s">
        <v>1507</v>
      </c>
      <c r="AN935" s="184" t="s">
        <v>1540</v>
      </c>
      <c r="AO935" s="184">
        <v>12</v>
      </c>
    </row>
    <row r="936" spans="33:41" x14ac:dyDescent="0.25">
      <c r="AJ936" s="184" t="s">
        <v>1101</v>
      </c>
      <c r="AK936" s="184" t="s">
        <v>100</v>
      </c>
      <c r="AL936" s="184" t="s">
        <v>1430</v>
      </c>
      <c r="AM936" s="184" t="s">
        <v>1507</v>
      </c>
      <c r="AN936" s="184" t="s">
        <v>1540</v>
      </c>
      <c r="AO936" s="184">
        <v>12</v>
      </c>
    </row>
    <row r="937" spans="33:41" x14ac:dyDescent="0.25">
      <c r="AJ937" s="184" t="s">
        <v>1102</v>
      </c>
      <c r="AK937" s="184" t="s">
        <v>100</v>
      </c>
      <c r="AL937" s="184" t="s">
        <v>1430</v>
      </c>
      <c r="AM937" s="184" t="s">
        <v>1507</v>
      </c>
      <c r="AN937" s="184" t="s">
        <v>1540</v>
      </c>
      <c r="AO937" s="184">
        <v>12</v>
      </c>
    </row>
    <row r="938" spans="33:41" x14ac:dyDescent="0.25">
      <c r="AJ938" s="184" t="s">
        <v>1103</v>
      </c>
      <c r="AK938" s="184" t="s">
        <v>100</v>
      </c>
      <c r="AL938" s="184" t="s">
        <v>1430</v>
      </c>
      <c r="AM938" s="184" t="s">
        <v>1507</v>
      </c>
      <c r="AN938" s="184" t="s">
        <v>1540</v>
      </c>
      <c r="AO938" s="184">
        <v>12</v>
      </c>
    </row>
    <row r="939" spans="33:41" x14ac:dyDescent="0.25">
      <c r="AJ939" s="184" t="s">
        <v>1104</v>
      </c>
      <c r="AK939" s="184" t="s">
        <v>100</v>
      </c>
      <c r="AL939" s="184" t="s">
        <v>1430</v>
      </c>
      <c r="AM939" s="184" t="s">
        <v>1507</v>
      </c>
      <c r="AN939" s="184" t="s">
        <v>1540</v>
      </c>
      <c r="AO939" s="184">
        <v>12</v>
      </c>
    </row>
    <row r="940" spans="33:41" x14ac:dyDescent="0.25">
      <c r="AJ940" s="184" t="s">
        <v>1105</v>
      </c>
      <c r="AK940" s="184" t="s">
        <v>100</v>
      </c>
      <c r="AL940" s="184" t="s">
        <v>1430</v>
      </c>
      <c r="AM940" s="184" t="s">
        <v>1507</v>
      </c>
      <c r="AN940" s="184" t="s">
        <v>1540</v>
      </c>
      <c r="AO940" s="184">
        <v>12</v>
      </c>
    </row>
    <row r="941" spans="33:41" x14ac:dyDescent="0.25">
      <c r="AJ941" s="184" t="s">
        <v>1106</v>
      </c>
      <c r="AK941" s="184" t="s">
        <v>100</v>
      </c>
      <c r="AL941" s="184" t="s">
        <v>1430</v>
      </c>
      <c r="AM941" s="184" t="s">
        <v>1507</v>
      </c>
      <c r="AN941" s="184" t="s">
        <v>1540</v>
      </c>
      <c r="AO941" s="184">
        <v>12</v>
      </c>
    </row>
    <row r="942" spans="33:41" x14ac:dyDescent="0.25">
      <c r="AJ942" s="184" t="s">
        <v>1107</v>
      </c>
      <c r="AK942" s="184" t="s">
        <v>100</v>
      </c>
      <c r="AL942" s="184" t="s">
        <v>1430</v>
      </c>
      <c r="AM942" s="184" t="s">
        <v>1507</v>
      </c>
      <c r="AN942" s="184" t="s">
        <v>1540</v>
      </c>
      <c r="AO942" s="184">
        <v>12</v>
      </c>
    </row>
    <row r="943" spans="33:41" x14ac:dyDescent="0.25">
      <c r="AJ943" s="184" t="s">
        <v>1108</v>
      </c>
      <c r="AK943" s="184" t="s">
        <v>100</v>
      </c>
      <c r="AL943" s="184" t="s">
        <v>1430</v>
      </c>
      <c r="AM943" s="184" t="s">
        <v>1507</v>
      </c>
      <c r="AN943" s="184" t="s">
        <v>1540</v>
      </c>
      <c r="AO943" s="184">
        <v>12</v>
      </c>
    </row>
    <row r="944" spans="33:41" x14ac:dyDescent="0.25">
      <c r="AJ944" s="184" t="s">
        <v>1109</v>
      </c>
      <c r="AK944" s="184" t="s">
        <v>100</v>
      </c>
      <c r="AL944" s="184" t="s">
        <v>1430</v>
      </c>
      <c r="AM944" s="184" t="s">
        <v>1507</v>
      </c>
      <c r="AN944" s="184" t="s">
        <v>1540</v>
      </c>
      <c r="AO944" s="184">
        <v>12</v>
      </c>
    </row>
    <row r="945" spans="36:41" x14ac:dyDescent="0.25">
      <c r="AJ945" s="184" t="s">
        <v>1110</v>
      </c>
      <c r="AK945" s="184" t="s">
        <v>100</v>
      </c>
      <c r="AL945" s="184" t="s">
        <v>1430</v>
      </c>
      <c r="AM945" s="184" t="s">
        <v>1471</v>
      </c>
      <c r="AN945" s="184" t="s">
        <v>1471</v>
      </c>
      <c r="AO945" s="184">
        <v>12</v>
      </c>
    </row>
    <row r="946" spans="36:41" x14ac:dyDescent="0.25">
      <c r="AJ946" s="184" t="s">
        <v>1111</v>
      </c>
      <c r="AK946" s="184" t="s">
        <v>100</v>
      </c>
      <c r="AL946" s="184" t="s">
        <v>1430</v>
      </c>
      <c r="AM946" s="184" t="s">
        <v>1471</v>
      </c>
      <c r="AN946" s="184" t="s">
        <v>1471</v>
      </c>
      <c r="AO946" s="184">
        <v>12</v>
      </c>
    </row>
    <row r="947" spans="36:41" x14ac:dyDescent="0.25">
      <c r="AJ947" s="184" t="s">
        <v>1112</v>
      </c>
      <c r="AK947" s="184" t="s">
        <v>100</v>
      </c>
      <c r="AL947" s="184" t="s">
        <v>1430</v>
      </c>
      <c r="AM947" s="184" t="s">
        <v>1471</v>
      </c>
      <c r="AN947" s="184" t="s">
        <v>1471</v>
      </c>
      <c r="AO947" s="184">
        <v>12</v>
      </c>
    </row>
    <row r="948" spans="36:41" x14ac:dyDescent="0.25">
      <c r="AJ948" s="184" t="s">
        <v>1113</v>
      </c>
      <c r="AK948" s="184" t="s">
        <v>100</v>
      </c>
      <c r="AL948" s="184" t="s">
        <v>1430</v>
      </c>
      <c r="AM948" s="184" t="s">
        <v>1471</v>
      </c>
      <c r="AN948" s="184" t="s">
        <v>1471</v>
      </c>
      <c r="AO948" s="184">
        <v>12</v>
      </c>
    </row>
    <row r="949" spans="36:41" x14ac:dyDescent="0.25">
      <c r="AJ949" s="184" t="s">
        <v>1114</v>
      </c>
      <c r="AK949" s="184" t="s">
        <v>100</v>
      </c>
      <c r="AL949" s="184" t="s">
        <v>1430</v>
      </c>
      <c r="AM949" s="184" t="s">
        <v>1471</v>
      </c>
      <c r="AN949" s="184" t="s">
        <v>1471</v>
      </c>
      <c r="AO949" s="184">
        <v>12</v>
      </c>
    </row>
    <row r="950" spans="36:41" x14ac:dyDescent="0.25">
      <c r="AJ950" s="184" t="s">
        <v>1115</v>
      </c>
      <c r="AK950" s="184" t="s">
        <v>100</v>
      </c>
      <c r="AL950" s="184" t="s">
        <v>1430</v>
      </c>
      <c r="AM950" s="184" t="s">
        <v>1471</v>
      </c>
      <c r="AN950" s="184" t="s">
        <v>1471</v>
      </c>
      <c r="AO950" s="184">
        <v>12</v>
      </c>
    </row>
    <row r="951" spans="36:41" x14ac:dyDescent="0.25">
      <c r="AJ951" s="184" t="s">
        <v>1116</v>
      </c>
      <c r="AK951" s="184" t="s">
        <v>100</v>
      </c>
      <c r="AL951" s="184" t="s">
        <v>1430</v>
      </c>
      <c r="AM951" s="184" t="s">
        <v>1471</v>
      </c>
      <c r="AN951" s="184" t="s">
        <v>1471</v>
      </c>
      <c r="AO951" s="184">
        <v>12</v>
      </c>
    </row>
    <row r="952" spans="36:41" x14ac:dyDescent="0.25">
      <c r="AJ952" s="184" t="s">
        <v>1117</v>
      </c>
      <c r="AK952" s="184" t="s">
        <v>100</v>
      </c>
      <c r="AL952" s="184" t="s">
        <v>1430</v>
      </c>
      <c r="AM952" s="184" t="s">
        <v>1471</v>
      </c>
      <c r="AN952" s="184" t="s">
        <v>1471</v>
      </c>
      <c r="AO952" s="184">
        <v>12</v>
      </c>
    </row>
    <row r="953" spans="36:41" x14ac:dyDescent="0.25">
      <c r="AJ953" s="184" t="s">
        <v>1118</v>
      </c>
      <c r="AK953" s="184" t="s">
        <v>100</v>
      </c>
      <c r="AL953" s="184" t="s">
        <v>1430</v>
      </c>
      <c r="AM953" s="184" t="s">
        <v>1471</v>
      </c>
      <c r="AN953" s="184" t="s">
        <v>1471</v>
      </c>
      <c r="AO953" s="184">
        <v>12</v>
      </c>
    </row>
    <row r="954" spans="36:41" x14ac:dyDescent="0.25">
      <c r="AJ954" s="184" t="s">
        <v>1119</v>
      </c>
      <c r="AK954" s="184" t="s">
        <v>100</v>
      </c>
      <c r="AL954" s="184" t="s">
        <v>1430</v>
      </c>
      <c r="AM954" s="184" t="s">
        <v>1471</v>
      </c>
      <c r="AN954" s="184" t="s">
        <v>1471</v>
      </c>
      <c r="AO954" s="184">
        <v>12</v>
      </c>
    </row>
    <row r="955" spans="36:41" x14ac:dyDescent="0.25">
      <c r="AJ955" s="184" t="s">
        <v>1120</v>
      </c>
      <c r="AK955" s="184" t="s">
        <v>100</v>
      </c>
      <c r="AL955" s="184" t="s">
        <v>1430</v>
      </c>
      <c r="AM955" s="184" t="s">
        <v>1471</v>
      </c>
      <c r="AN955" s="184" t="s">
        <v>1471</v>
      </c>
      <c r="AO955" s="184">
        <v>12</v>
      </c>
    </row>
    <row r="956" spans="36:41" x14ac:dyDescent="0.25">
      <c r="AJ956" s="184" t="s">
        <v>1121</v>
      </c>
      <c r="AK956" s="184" t="s">
        <v>100</v>
      </c>
      <c r="AL956" s="184" t="s">
        <v>1430</v>
      </c>
      <c r="AM956" s="184" t="s">
        <v>1471</v>
      </c>
      <c r="AN956" s="184" t="s">
        <v>1471</v>
      </c>
      <c r="AO956" s="184">
        <v>12</v>
      </c>
    </row>
    <row r="957" spans="36:41" x14ac:dyDescent="0.25">
      <c r="AJ957" s="184" t="s">
        <v>1122</v>
      </c>
      <c r="AK957" s="184" t="s">
        <v>100</v>
      </c>
      <c r="AL957" s="184" t="s">
        <v>1430</v>
      </c>
      <c r="AM957" s="184" t="s">
        <v>1471</v>
      </c>
      <c r="AN957" s="184" t="s">
        <v>1471</v>
      </c>
      <c r="AO957" s="184">
        <v>12</v>
      </c>
    </row>
    <row r="958" spans="36:41" x14ac:dyDescent="0.25">
      <c r="AJ958" s="184" t="s">
        <v>1123</v>
      </c>
      <c r="AK958" s="184" t="s">
        <v>100</v>
      </c>
      <c r="AL958" s="184" t="s">
        <v>1430</v>
      </c>
      <c r="AM958" s="184" t="s">
        <v>1471</v>
      </c>
      <c r="AN958" s="184" t="s">
        <v>1471</v>
      </c>
      <c r="AO958" s="184">
        <v>12</v>
      </c>
    </row>
    <row r="959" spans="36:41" x14ac:dyDescent="0.25">
      <c r="AJ959" s="184" t="s">
        <v>1124</v>
      </c>
      <c r="AK959" s="184" t="s">
        <v>135</v>
      </c>
      <c r="AL959" s="184" t="s">
        <v>1430</v>
      </c>
      <c r="AM959" s="184" t="s">
        <v>1438</v>
      </c>
      <c r="AN959" s="184" t="s">
        <v>1535</v>
      </c>
      <c r="AO959" s="184">
        <v>12</v>
      </c>
    </row>
    <row r="960" spans="36:41" x14ac:dyDescent="0.25">
      <c r="AJ960" s="184" t="s">
        <v>1125</v>
      </c>
      <c r="AK960" s="184" t="s">
        <v>135</v>
      </c>
      <c r="AL960" s="184" t="s">
        <v>1430</v>
      </c>
      <c r="AM960" s="184" t="s">
        <v>1438</v>
      </c>
      <c r="AN960" s="184" t="s">
        <v>1535</v>
      </c>
      <c r="AO960" s="184">
        <v>12</v>
      </c>
    </row>
    <row r="961" spans="36:41" x14ac:dyDescent="0.25">
      <c r="AJ961" s="184" t="s">
        <v>1126</v>
      </c>
      <c r="AK961" s="184" t="s">
        <v>135</v>
      </c>
      <c r="AL961" s="184" t="s">
        <v>1430</v>
      </c>
      <c r="AM961" s="184" t="s">
        <v>1438</v>
      </c>
      <c r="AN961" s="184" t="s">
        <v>1535</v>
      </c>
      <c r="AO961" s="184">
        <v>12</v>
      </c>
    </row>
    <row r="962" spans="36:41" x14ac:dyDescent="0.25">
      <c r="AJ962" s="184" t="s">
        <v>1127</v>
      </c>
      <c r="AK962" s="184" t="s">
        <v>135</v>
      </c>
      <c r="AL962" s="184" t="s">
        <v>1430</v>
      </c>
      <c r="AM962" s="184" t="s">
        <v>1438</v>
      </c>
      <c r="AN962" s="184" t="s">
        <v>1535</v>
      </c>
      <c r="AO962" s="184">
        <v>12</v>
      </c>
    </row>
    <row r="963" spans="36:41" x14ac:dyDescent="0.25">
      <c r="AJ963" s="184" t="s">
        <v>1128</v>
      </c>
      <c r="AK963" s="184" t="s">
        <v>135</v>
      </c>
      <c r="AL963" s="184" t="s">
        <v>1430</v>
      </c>
      <c r="AM963" s="184" t="s">
        <v>1438</v>
      </c>
      <c r="AN963" s="184" t="s">
        <v>1535</v>
      </c>
      <c r="AO963" s="184">
        <v>12</v>
      </c>
    </row>
    <row r="964" spans="36:41" x14ac:dyDescent="0.25">
      <c r="AJ964" s="184" t="s">
        <v>1129</v>
      </c>
      <c r="AK964" s="184" t="s">
        <v>135</v>
      </c>
      <c r="AL964" s="184" t="s">
        <v>1430</v>
      </c>
      <c r="AM964" s="184" t="s">
        <v>1438</v>
      </c>
      <c r="AN964" s="184" t="s">
        <v>1535</v>
      </c>
      <c r="AO964" s="184">
        <v>12</v>
      </c>
    </row>
    <row r="965" spans="36:41" x14ac:dyDescent="0.25">
      <c r="AJ965" s="184" t="s">
        <v>1130</v>
      </c>
      <c r="AK965" s="184" t="s">
        <v>1416</v>
      </c>
      <c r="AL965" s="184" t="s">
        <v>1430</v>
      </c>
      <c r="AM965" s="184" t="s">
        <v>1459</v>
      </c>
      <c r="AN965" s="184" t="s">
        <v>137</v>
      </c>
      <c r="AO965" s="184">
        <v>12</v>
      </c>
    </row>
    <row r="966" spans="36:41" x14ac:dyDescent="0.25">
      <c r="AJ966" s="184" t="s">
        <v>1131</v>
      </c>
      <c r="AK966" s="184" t="s">
        <v>150</v>
      </c>
      <c r="AL966" s="184" t="s">
        <v>1432</v>
      </c>
      <c r="AM966" s="184" t="s">
        <v>1453</v>
      </c>
      <c r="AN966" s="184" t="s">
        <v>137</v>
      </c>
      <c r="AO966" s="184">
        <v>12</v>
      </c>
    </row>
    <row r="967" spans="36:41" x14ac:dyDescent="0.25">
      <c r="AJ967" s="184" t="s">
        <v>1132</v>
      </c>
      <c r="AK967" s="184" t="s">
        <v>1417</v>
      </c>
      <c r="AL967" s="184" t="s">
        <v>1430</v>
      </c>
      <c r="AM967" s="184" t="s">
        <v>1465</v>
      </c>
      <c r="AN967" s="184" t="s">
        <v>137</v>
      </c>
      <c r="AO967" s="184">
        <v>12</v>
      </c>
    </row>
    <row r="968" spans="36:41" x14ac:dyDescent="0.25">
      <c r="AJ968" s="184" t="s">
        <v>1133</v>
      </c>
      <c r="AK968" s="184" t="s">
        <v>151</v>
      </c>
      <c r="AL968" s="184" t="s">
        <v>1430</v>
      </c>
      <c r="AM968" s="184" t="s">
        <v>1465</v>
      </c>
      <c r="AN968" s="184" t="s">
        <v>137</v>
      </c>
      <c r="AO968" s="184">
        <v>12</v>
      </c>
    </row>
    <row r="969" spans="36:41" x14ac:dyDescent="0.25">
      <c r="AJ969" s="184" t="s">
        <v>1134</v>
      </c>
      <c r="AK969" s="184" t="s">
        <v>96</v>
      </c>
      <c r="AL969" s="184" t="s">
        <v>1430</v>
      </c>
      <c r="AM969" s="184" t="s">
        <v>1465</v>
      </c>
      <c r="AN969" s="184" t="s">
        <v>137</v>
      </c>
      <c r="AO969" s="184">
        <v>12</v>
      </c>
    </row>
    <row r="970" spans="36:41" x14ac:dyDescent="0.25">
      <c r="AJ970" s="184" t="s">
        <v>1135</v>
      </c>
      <c r="AK970" s="184" t="s">
        <v>151</v>
      </c>
      <c r="AL970" s="184" t="s">
        <v>1430</v>
      </c>
      <c r="AM970" s="184" t="s">
        <v>1453</v>
      </c>
      <c r="AN970" s="184" t="s">
        <v>137</v>
      </c>
      <c r="AO970" s="184">
        <v>12</v>
      </c>
    </row>
    <row r="971" spans="36:41" x14ac:dyDescent="0.25">
      <c r="AJ971" s="184" t="s">
        <v>1136</v>
      </c>
      <c r="AK971" s="184" t="s">
        <v>1418</v>
      </c>
      <c r="AL971" s="184" t="s">
        <v>1430</v>
      </c>
      <c r="AM971" s="184" t="s">
        <v>1453</v>
      </c>
      <c r="AN971" s="184" t="s">
        <v>137</v>
      </c>
      <c r="AO971" s="184">
        <v>12</v>
      </c>
    </row>
    <row r="972" spans="36:41" x14ac:dyDescent="0.25">
      <c r="AJ972" s="184" t="s">
        <v>1137</v>
      </c>
      <c r="AK972" s="184" t="s">
        <v>1419</v>
      </c>
      <c r="AL972" s="184" t="s">
        <v>1430</v>
      </c>
      <c r="AM972" s="184" t="s">
        <v>1453</v>
      </c>
      <c r="AN972" s="184" t="s">
        <v>137</v>
      </c>
      <c r="AO972" s="184">
        <v>12</v>
      </c>
    </row>
    <row r="973" spans="36:41" x14ac:dyDescent="0.25">
      <c r="AJ973" s="184" t="s">
        <v>1138</v>
      </c>
      <c r="AK973" s="184" t="s">
        <v>132</v>
      </c>
      <c r="AL973" s="184" t="s">
        <v>1430</v>
      </c>
      <c r="AM973" s="184" t="s">
        <v>1450</v>
      </c>
      <c r="AN973" s="184" t="s">
        <v>137</v>
      </c>
      <c r="AO973" s="184">
        <v>12</v>
      </c>
    </row>
    <row r="974" spans="36:41" x14ac:dyDescent="0.25">
      <c r="AJ974" s="184" t="s">
        <v>1139</v>
      </c>
      <c r="AK974" s="184" t="s">
        <v>1420</v>
      </c>
      <c r="AL974" s="184" t="s">
        <v>1430</v>
      </c>
      <c r="AM974" s="184" t="s">
        <v>1481</v>
      </c>
      <c r="AN974" s="184" t="s">
        <v>1539</v>
      </c>
      <c r="AO974" s="184">
        <v>6</v>
      </c>
    </row>
    <row r="975" spans="36:41" x14ac:dyDescent="0.25">
      <c r="AJ975" s="184" t="s">
        <v>1140</v>
      </c>
      <c r="AK975" s="184" t="s">
        <v>1421</v>
      </c>
      <c r="AL975" s="184" t="s">
        <v>1430</v>
      </c>
      <c r="AM975" s="184" t="s">
        <v>1471</v>
      </c>
      <c r="AN975" s="184" t="s">
        <v>1471</v>
      </c>
      <c r="AO975" s="184">
        <v>12</v>
      </c>
    </row>
    <row r="976" spans="36:41" x14ac:dyDescent="0.25">
      <c r="AJ976" s="184" t="s">
        <v>1141</v>
      </c>
      <c r="AK976" s="184" t="s">
        <v>1421</v>
      </c>
      <c r="AL976" s="184" t="s">
        <v>1430</v>
      </c>
      <c r="AM976" s="184" t="s">
        <v>1471</v>
      </c>
      <c r="AN976" s="184" t="s">
        <v>1471</v>
      </c>
      <c r="AO976" s="184">
        <v>12</v>
      </c>
    </row>
    <row r="977" spans="36:41" x14ac:dyDescent="0.25">
      <c r="AJ977" s="184" t="s">
        <v>1142</v>
      </c>
      <c r="AK977" s="184" t="s">
        <v>98</v>
      </c>
      <c r="AL977" s="184" t="s">
        <v>1430</v>
      </c>
      <c r="AM977" s="184" t="s">
        <v>1443</v>
      </c>
      <c r="AN977" s="184" t="s">
        <v>1536</v>
      </c>
      <c r="AO977" s="184">
        <v>12</v>
      </c>
    </row>
    <row r="978" spans="36:41" x14ac:dyDescent="0.25">
      <c r="AJ978" s="184" t="s">
        <v>1143</v>
      </c>
      <c r="AK978" s="184" t="s">
        <v>96</v>
      </c>
      <c r="AL978" s="184" t="s">
        <v>1430</v>
      </c>
      <c r="AM978" s="184" t="s">
        <v>1443</v>
      </c>
      <c r="AN978" s="184" t="s">
        <v>1536</v>
      </c>
      <c r="AO978" s="184">
        <v>12</v>
      </c>
    </row>
    <row r="979" spans="36:41" x14ac:dyDescent="0.25">
      <c r="AJ979" s="184" t="s">
        <v>1144</v>
      </c>
      <c r="AK979" s="184" t="s">
        <v>96</v>
      </c>
      <c r="AL979" s="184" t="s">
        <v>1430</v>
      </c>
      <c r="AM979" s="184" t="s">
        <v>1450</v>
      </c>
      <c r="AN979" s="184" t="s">
        <v>1536</v>
      </c>
      <c r="AO979" s="184">
        <v>12</v>
      </c>
    </row>
    <row r="980" spans="36:41" x14ac:dyDescent="0.25">
      <c r="AJ980" s="184" t="s">
        <v>1145</v>
      </c>
      <c r="AK980" s="184" t="s">
        <v>1389</v>
      </c>
      <c r="AL980" s="184" t="s">
        <v>1430</v>
      </c>
      <c r="AM980" s="184" t="s">
        <v>59</v>
      </c>
      <c r="AN980" s="184" t="s">
        <v>1537</v>
      </c>
      <c r="AO980" s="184">
        <v>12</v>
      </c>
    </row>
    <row r="981" spans="36:41" x14ac:dyDescent="0.25">
      <c r="AJ981" s="184" t="s">
        <v>1146</v>
      </c>
      <c r="AK981" s="184" t="s">
        <v>1389</v>
      </c>
      <c r="AL981" s="184" t="s">
        <v>1430</v>
      </c>
      <c r="AM981" s="184" t="s">
        <v>59</v>
      </c>
      <c r="AN981" s="184" t="s">
        <v>1537</v>
      </c>
      <c r="AO981" s="184">
        <v>12</v>
      </c>
    </row>
    <row r="982" spans="36:41" x14ac:dyDescent="0.25">
      <c r="AJ982" s="184" t="s">
        <v>1147</v>
      </c>
      <c r="AK982" s="184" t="s">
        <v>1389</v>
      </c>
      <c r="AL982" s="184" t="s">
        <v>1430</v>
      </c>
      <c r="AM982" s="184" t="s">
        <v>59</v>
      </c>
      <c r="AN982" s="184" t="s">
        <v>1537</v>
      </c>
      <c r="AO982" s="184">
        <v>12</v>
      </c>
    </row>
    <row r="983" spans="36:41" x14ac:dyDescent="0.25">
      <c r="AJ983" s="184" t="s">
        <v>1148</v>
      </c>
      <c r="AK983" s="184" t="s">
        <v>1389</v>
      </c>
      <c r="AL983" s="184" t="s">
        <v>1430</v>
      </c>
      <c r="AM983" s="184" t="s">
        <v>59</v>
      </c>
      <c r="AN983" s="184" t="s">
        <v>1537</v>
      </c>
      <c r="AO983" s="184">
        <v>12</v>
      </c>
    </row>
    <row r="984" spans="36:41" x14ac:dyDescent="0.25">
      <c r="AJ984" s="184" t="s">
        <v>1149</v>
      </c>
      <c r="AK984" s="184" t="s">
        <v>1389</v>
      </c>
      <c r="AL984" s="184" t="s">
        <v>1430</v>
      </c>
      <c r="AM984" s="184" t="s">
        <v>59</v>
      </c>
      <c r="AN984" s="184" t="s">
        <v>1537</v>
      </c>
      <c r="AO984" s="184">
        <v>12</v>
      </c>
    </row>
    <row r="985" spans="36:41" x14ac:dyDescent="0.25">
      <c r="AJ985" s="184" t="s">
        <v>1150</v>
      </c>
      <c r="AK985" s="184" t="s">
        <v>96</v>
      </c>
      <c r="AL985" s="184" t="s">
        <v>1430</v>
      </c>
      <c r="AM985" s="184" t="s">
        <v>1511</v>
      </c>
      <c r="AN985" s="184" t="s">
        <v>1543</v>
      </c>
      <c r="AO985" s="184">
        <v>12</v>
      </c>
    </row>
    <row r="986" spans="36:41" x14ac:dyDescent="0.25">
      <c r="AJ986" s="184" t="s">
        <v>1151</v>
      </c>
      <c r="AK986" s="184" t="s">
        <v>83</v>
      </c>
      <c r="AL986" s="184" t="s">
        <v>1430</v>
      </c>
      <c r="AM986" s="184" t="s">
        <v>1471</v>
      </c>
      <c r="AN986" s="184" t="s">
        <v>1471</v>
      </c>
      <c r="AO986" s="184">
        <v>12</v>
      </c>
    </row>
    <row r="987" spans="36:41" x14ac:dyDescent="0.25">
      <c r="AJ987" s="184" t="s">
        <v>1152</v>
      </c>
      <c r="AK987" s="184" t="s">
        <v>143</v>
      </c>
      <c r="AL987" s="184" t="s">
        <v>1430</v>
      </c>
      <c r="AM987" s="184" t="s">
        <v>1443</v>
      </c>
      <c r="AN987" s="184" t="s">
        <v>1536</v>
      </c>
      <c r="AO987" s="184">
        <v>6</v>
      </c>
    </row>
    <row r="988" spans="36:41" x14ac:dyDescent="0.25">
      <c r="AJ988" s="184" t="s">
        <v>1153</v>
      </c>
      <c r="AK988" s="184" t="s">
        <v>1422</v>
      </c>
      <c r="AL988" s="184" t="s">
        <v>1430</v>
      </c>
      <c r="AM988" s="184" t="s">
        <v>1456</v>
      </c>
      <c r="AN988" s="184" t="s">
        <v>137</v>
      </c>
      <c r="AO988" s="184">
        <v>12</v>
      </c>
    </row>
    <row r="989" spans="36:41" x14ac:dyDescent="0.25">
      <c r="AJ989" s="184" t="s">
        <v>1154</v>
      </c>
      <c r="AK989" s="184" t="s">
        <v>1423</v>
      </c>
      <c r="AL989" s="184" t="s">
        <v>1430</v>
      </c>
      <c r="AM989" s="184" t="s">
        <v>59</v>
      </c>
      <c r="AN989" s="184" t="s">
        <v>1537</v>
      </c>
      <c r="AO989" s="184">
        <v>12</v>
      </c>
    </row>
    <row r="990" spans="36:41" x14ac:dyDescent="0.25">
      <c r="AJ990" s="184" t="s">
        <v>1155</v>
      </c>
      <c r="AK990" s="184" t="s">
        <v>1423</v>
      </c>
      <c r="AL990" s="184" t="s">
        <v>1430</v>
      </c>
      <c r="AM990" s="184" t="s">
        <v>59</v>
      </c>
      <c r="AN990" s="184" t="s">
        <v>1537</v>
      </c>
      <c r="AO990" s="184">
        <v>12</v>
      </c>
    </row>
    <row r="991" spans="36:41" x14ac:dyDescent="0.25">
      <c r="AJ991" s="184" t="s">
        <v>1156</v>
      </c>
      <c r="AK991" s="184" t="s">
        <v>86</v>
      </c>
      <c r="AL991" s="184" t="s">
        <v>1430</v>
      </c>
      <c r="AM991" s="184" t="s">
        <v>59</v>
      </c>
      <c r="AN991" s="184" t="s">
        <v>1537</v>
      </c>
      <c r="AO991" s="184">
        <v>12</v>
      </c>
    </row>
    <row r="992" spans="36:41" x14ac:dyDescent="0.25">
      <c r="AJ992" s="184" t="s">
        <v>1157</v>
      </c>
      <c r="AK992" s="184" t="s">
        <v>1409</v>
      </c>
      <c r="AL992" s="184" t="s">
        <v>1430</v>
      </c>
      <c r="AM992" s="184" t="s">
        <v>1503</v>
      </c>
      <c r="AN992" s="184" t="s">
        <v>1539</v>
      </c>
      <c r="AO992" s="184">
        <v>12</v>
      </c>
    </row>
    <row r="993" spans="36:41" x14ac:dyDescent="0.25">
      <c r="AJ993" s="184" t="s">
        <v>1158</v>
      </c>
      <c r="AK993" s="184" t="s">
        <v>1409</v>
      </c>
      <c r="AL993" s="184" t="s">
        <v>1430</v>
      </c>
      <c r="AM993" s="184" t="s">
        <v>1503</v>
      </c>
      <c r="AN993" s="184" t="s">
        <v>1539</v>
      </c>
      <c r="AO993" s="184">
        <v>12</v>
      </c>
    </row>
    <row r="994" spans="36:41" x14ac:dyDescent="0.25">
      <c r="AJ994" s="184" t="s">
        <v>1159</v>
      </c>
      <c r="AK994" s="184" t="s">
        <v>1395</v>
      </c>
      <c r="AL994" s="184" t="s">
        <v>1430</v>
      </c>
      <c r="AM994" s="184" t="s">
        <v>1471</v>
      </c>
      <c r="AN994" s="184" t="s">
        <v>1471</v>
      </c>
      <c r="AO994" s="184">
        <v>12</v>
      </c>
    </row>
    <row r="995" spans="36:41" x14ac:dyDescent="0.25">
      <c r="AJ995" s="184" t="s">
        <v>1160</v>
      </c>
      <c r="AK995" s="184" t="s">
        <v>1419</v>
      </c>
      <c r="AL995" s="184" t="s">
        <v>1433</v>
      </c>
      <c r="AM995" s="184" t="s">
        <v>1453</v>
      </c>
      <c r="AN995" s="184" t="s">
        <v>137</v>
      </c>
      <c r="AO995" s="184">
        <v>12</v>
      </c>
    </row>
    <row r="996" spans="36:41" x14ac:dyDescent="0.25">
      <c r="AJ996" s="184" t="s">
        <v>1161</v>
      </c>
      <c r="AK996" s="184" t="s">
        <v>1419</v>
      </c>
      <c r="AL996" s="184" t="s">
        <v>1433</v>
      </c>
      <c r="AM996" s="184" t="s">
        <v>1453</v>
      </c>
      <c r="AN996" s="184" t="s">
        <v>137</v>
      </c>
      <c r="AO996" s="184">
        <v>12</v>
      </c>
    </row>
    <row r="997" spans="36:41" x14ac:dyDescent="0.25">
      <c r="AJ997" s="184" t="s">
        <v>1162</v>
      </c>
      <c r="AK997" s="184" t="s">
        <v>1424</v>
      </c>
      <c r="AL997" s="184" t="s">
        <v>1430</v>
      </c>
      <c r="AM997" s="184" t="s">
        <v>1474</v>
      </c>
      <c r="AN997" s="184" t="s">
        <v>1538</v>
      </c>
      <c r="AO997" s="184">
        <v>12</v>
      </c>
    </row>
    <row r="998" spans="36:41" x14ac:dyDescent="0.25">
      <c r="AJ998" s="184" t="s">
        <v>1163</v>
      </c>
      <c r="AK998" s="184" t="s">
        <v>1425</v>
      </c>
      <c r="AL998" s="184" t="s">
        <v>1430</v>
      </c>
      <c r="AM998" s="184" t="s">
        <v>1512</v>
      </c>
      <c r="AN998" s="184" t="s">
        <v>1535</v>
      </c>
      <c r="AO998" s="184">
        <v>12</v>
      </c>
    </row>
    <row r="999" spans="36:41" x14ac:dyDescent="0.25">
      <c r="AJ999" s="184" t="s">
        <v>1164</v>
      </c>
      <c r="AK999" s="184" t="s">
        <v>1426</v>
      </c>
      <c r="AL999" s="184" t="s">
        <v>1431</v>
      </c>
      <c r="AM999" s="184" t="s">
        <v>1501</v>
      </c>
      <c r="AN999" s="184" t="s">
        <v>1537</v>
      </c>
      <c r="AO999" s="184">
        <v>12</v>
      </c>
    </row>
    <row r="1000" spans="36:41" x14ac:dyDescent="0.25">
      <c r="AJ1000" s="184" t="s">
        <v>1165</v>
      </c>
      <c r="AK1000" s="184" t="s">
        <v>153</v>
      </c>
      <c r="AL1000" s="184" t="s">
        <v>1431</v>
      </c>
      <c r="AM1000" s="184" t="s">
        <v>1435</v>
      </c>
      <c r="AN1000" s="184" t="s">
        <v>1535</v>
      </c>
      <c r="AO1000" s="184">
        <v>12</v>
      </c>
    </row>
    <row r="1001" spans="36:41" x14ac:dyDescent="0.25">
      <c r="AJ1001" s="184" t="s">
        <v>1166</v>
      </c>
      <c r="AK1001" s="184" t="s">
        <v>153</v>
      </c>
      <c r="AL1001" s="184" t="s">
        <v>1431</v>
      </c>
      <c r="AM1001" s="184" t="s">
        <v>1435</v>
      </c>
      <c r="AN1001" s="184" t="s">
        <v>1535</v>
      </c>
      <c r="AO1001" s="184">
        <v>12</v>
      </c>
    </row>
    <row r="1002" spans="36:41" x14ac:dyDescent="0.25">
      <c r="AJ1002" s="184" t="s">
        <v>1167</v>
      </c>
      <c r="AK1002" s="184" t="s">
        <v>153</v>
      </c>
      <c r="AL1002" s="184" t="s">
        <v>1431</v>
      </c>
      <c r="AM1002" s="184" t="s">
        <v>1435</v>
      </c>
      <c r="AN1002" s="184" t="s">
        <v>1535</v>
      </c>
      <c r="AO1002" s="184">
        <v>12</v>
      </c>
    </row>
    <row r="1003" spans="36:41" x14ac:dyDescent="0.25">
      <c r="AJ1003" s="184" t="s">
        <v>1168</v>
      </c>
      <c r="AK1003" s="184" t="s">
        <v>153</v>
      </c>
      <c r="AL1003" s="184" t="s">
        <v>1431</v>
      </c>
      <c r="AM1003" s="184" t="s">
        <v>1435</v>
      </c>
      <c r="AN1003" s="184" t="s">
        <v>1535</v>
      </c>
      <c r="AO1003" s="184">
        <v>12</v>
      </c>
    </row>
    <row r="1004" spans="36:41" x14ac:dyDescent="0.25">
      <c r="AJ1004" s="184" t="s">
        <v>1169</v>
      </c>
      <c r="AK1004" s="184" t="s">
        <v>153</v>
      </c>
      <c r="AL1004" s="184" t="s">
        <v>1431</v>
      </c>
      <c r="AM1004" s="184" t="s">
        <v>1435</v>
      </c>
      <c r="AN1004" s="184" t="s">
        <v>1535</v>
      </c>
      <c r="AO1004" s="184">
        <v>12</v>
      </c>
    </row>
    <row r="1005" spans="36:41" x14ac:dyDescent="0.25">
      <c r="AJ1005" s="184" t="s">
        <v>1170</v>
      </c>
      <c r="AK1005" s="184" t="s">
        <v>153</v>
      </c>
      <c r="AL1005" s="184" t="s">
        <v>1431</v>
      </c>
      <c r="AM1005" s="184" t="s">
        <v>1435</v>
      </c>
      <c r="AN1005" s="184" t="s">
        <v>1535</v>
      </c>
      <c r="AO1005" s="184">
        <v>12</v>
      </c>
    </row>
    <row r="1006" spans="36:41" x14ac:dyDescent="0.25">
      <c r="AJ1006" s="184" t="s">
        <v>1171</v>
      </c>
      <c r="AK1006" s="184" t="s">
        <v>153</v>
      </c>
      <c r="AL1006" s="184" t="s">
        <v>1431</v>
      </c>
      <c r="AM1006" s="184" t="s">
        <v>1435</v>
      </c>
      <c r="AN1006" s="184" t="s">
        <v>1535</v>
      </c>
      <c r="AO1006" s="184">
        <v>12</v>
      </c>
    </row>
    <row r="1007" spans="36:41" x14ac:dyDescent="0.25">
      <c r="AJ1007" s="184" t="s">
        <v>1172</v>
      </c>
      <c r="AK1007" s="184" t="s">
        <v>153</v>
      </c>
      <c r="AL1007" s="184" t="s">
        <v>1431</v>
      </c>
      <c r="AM1007" s="184" t="s">
        <v>1435</v>
      </c>
      <c r="AN1007" s="184" t="s">
        <v>1535</v>
      </c>
      <c r="AO1007" s="184">
        <v>12</v>
      </c>
    </row>
    <row r="1008" spans="36:41" x14ac:dyDescent="0.25">
      <c r="AJ1008" s="184" t="s">
        <v>1173</v>
      </c>
      <c r="AK1008" s="184" t="s">
        <v>153</v>
      </c>
      <c r="AL1008" s="184" t="s">
        <v>1431</v>
      </c>
      <c r="AM1008" s="184" t="s">
        <v>1435</v>
      </c>
      <c r="AN1008" s="184" t="s">
        <v>1535</v>
      </c>
      <c r="AO1008" s="184">
        <v>12</v>
      </c>
    </row>
    <row r="1009" spans="36:41" x14ac:dyDescent="0.25">
      <c r="AJ1009" s="184" t="s">
        <v>1174</v>
      </c>
      <c r="AK1009" s="184" t="s">
        <v>153</v>
      </c>
      <c r="AL1009" s="184" t="s">
        <v>1431</v>
      </c>
      <c r="AM1009" s="184" t="s">
        <v>1435</v>
      </c>
      <c r="AN1009" s="184" t="s">
        <v>1535</v>
      </c>
      <c r="AO1009" s="184">
        <v>12</v>
      </c>
    </row>
    <row r="1010" spans="36:41" x14ac:dyDescent="0.25">
      <c r="AJ1010" s="184" t="s">
        <v>1175</v>
      </c>
      <c r="AK1010" s="184" t="s">
        <v>153</v>
      </c>
      <c r="AL1010" s="184" t="s">
        <v>1431</v>
      </c>
      <c r="AM1010" s="184" t="s">
        <v>1435</v>
      </c>
      <c r="AN1010" s="184" t="s">
        <v>1535</v>
      </c>
      <c r="AO1010" s="184">
        <v>12</v>
      </c>
    </row>
    <row r="1011" spans="36:41" x14ac:dyDescent="0.25">
      <c r="AJ1011" s="184" t="s">
        <v>1176</v>
      </c>
      <c r="AK1011" s="184" t="s">
        <v>153</v>
      </c>
      <c r="AL1011" s="184" t="s">
        <v>1431</v>
      </c>
      <c r="AM1011" s="184" t="s">
        <v>1435</v>
      </c>
      <c r="AN1011" s="184" t="s">
        <v>1535</v>
      </c>
      <c r="AO1011" s="184">
        <v>12</v>
      </c>
    </row>
    <row r="1012" spans="36:41" x14ac:dyDescent="0.25">
      <c r="AJ1012" s="184" t="s">
        <v>1177</v>
      </c>
      <c r="AK1012" s="184" t="s">
        <v>1425</v>
      </c>
      <c r="AL1012" s="184" t="s">
        <v>1433</v>
      </c>
      <c r="AM1012" s="184" t="s">
        <v>1512</v>
      </c>
      <c r="AN1012" s="184" t="s">
        <v>1535</v>
      </c>
      <c r="AO1012" s="184">
        <v>12</v>
      </c>
    </row>
    <row r="1013" spans="36:41" x14ac:dyDescent="0.25">
      <c r="AJ1013" s="184" t="s">
        <v>1178</v>
      </c>
      <c r="AK1013" s="184" t="s">
        <v>1425</v>
      </c>
      <c r="AL1013" s="184" t="s">
        <v>1433</v>
      </c>
      <c r="AM1013" s="184" t="s">
        <v>1512</v>
      </c>
      <c r="AN1013" s="184" t="s">
        <v>1535</v>
      </c>
      <c r="AO1013" s="184">
        <v>12</v>
      </c>
    </row>
    <row r="1014" spans="36:41" x14ac:dyDescent="0.25">
      <c r="AJ1014" s="184" t="s">
        <v>1179</v>
      </c>
      <c r="AK1014" s="184" t="s">
        <v>1425</v>
      </c>
      <c r="AL1014" s="184" t="s">
        <v>1433</v>
      </c>
      <c r="AM1014" s="184" t="s">
        <v>1512</v>
      </c>
      <c r="AN1014" s="184" t="s">
        <v>1535</v>
      </c>
      <c r="AO1014" s="184">
        <v>12</v>
      </c>
    </row>
    <row r="1015" spans="36:41" x14ac:dyDescent="0.25">
      <c r="AJ1015" s="184" t="s">
        <v>1180</v>
      </c>
      <c r="AK1015" s="184" t="s">
        <v>1425</v>
      </c>
      <c r="AL1015" s="184" t="s">
        <v>1433</v>
      </c>
      <c r="AM1015" s="184" t="s">
        <v>1512</v>
      </c>
      <c r="AN1015" s="184" t="s">
        <v>1535</v>
      </c>
      <c r="AO1015" s="184">
        <v>12</v>
      </c>
    </row>
    <row r="1016" spans="36:41" x14ac:dyDescent="0.25">
      <c r="AJ1016" s="184" t="s">
        <v>1181</v>
      </c>
      <c r="AK1016" s="184" t="s">
        <v>1425</v>
      </c>
      <c r="AL1016" s="184" t="s">
        <v>1433</v>
      </c>
      <c r="AM1016" s="184" t="s">
        <v>1512</v>
      </c>
      <c r="AN1016" s="184" t="s">
        <v>1535</v>
      </c>
      <c r="AO1016" s="184">
        <v>12</v>
      </c>
    </row>
    <row r="1017" spans="36:41" x14ac:dyDescent="0.25">
      <c r="AJ1017" s="184" t="s">
        <v>1182</v>
      </c>
      <c r="AK1017" s="184" t="s">
        <v>1425</v>
      </c>
      <c r="AL1017" s="184" t="s">
        <v>1433</v>
      </c>
      <c r="AM1017" s="184" t="s">
        <v>1512</v>
      </c>
      <c r="AN1017" s="184" t="s">
        <v>1535</v>
      </c>
      <c r="AO1017" s="184">
        <v>12</v>
      </c>
    </row>
    <row r="1018" spans="36:41" x14ac:dyDescent="0.25">
      <c r="AJ1018" s="184" t="s">
        <v>1183</v>
      </c>
      <c r="AK1018" s="184" t="s">
        <v>1425</v>
      </c>
      <c r="AL1018" s="184" t="s">
        <v>1433</v>
      </c>
      <c r="AM1018" s="184" t="s">
        <v>1512</v>
      </c>
      <c r="AN1018" s="184" t="s">
        <v>1535</v>
      </c>
      <c r="AO1018" s="184">
        <v>12</v>
      </c>
    </row>
    <row r="1019" spans="36:41" x14ac:dyDescent="0.25">
      <c r="AJ1019" s="184" t="s">
        <v>1184</v>
      </c>
      <c r="AK1019" s="184" t="s">
        <v>1425</v>
      </c>
      <c r="AL1019" s="184" t="s">
        <v>1433</v>
      </c>
      <c r="AM1019" s="184" t="s">
        <v>1512</v>
      </c>
      <c r="AN1019" s="184" t="s">
        <v>1535</v>
      </c>
      <c r="AO1019" s="184">
        <v>12</v>
      </c>
    </row>
    <row r="1020" spans="36:41" x14ac:dyDescent="0.25">
      <c r="AJ1020" s="184" t="s">
        <v>1185</v>
      </c>
      <c r="AK1020" s="184" t="s">
        <v>1425</v>
      </c>
      <c r="AL1020" s="184" t="s">
        <v>1433</v>
      </c>
      <c r="AM1020" s="184" t="s">
        <v>1512</v>
      </c>
      <c r="AN1020" s="184" t="s">
        <v>1535</v>
      </c>
      <c r="AO1020" s="184">
        <v>12</v>
      </c>
    </row>
    <row r="1021" spans="36:41" x14ac:dyDescent="0.25">
      <c r="AJ1021" s="184" t="s">
        <v>1186</v>
      </c>
      <c r="AK1021" s="184" t="s">
        <v>1425</v>
      </c>
      <c r="AL1021" s="184" t="s">
        <v>1433</v>
      </c>
      <c r="AM1021" s="184" t="s">
        <v>1512</v>
      </c>
      <c r="AN1021" s="184" t="s">
        <v>1535</v>
      </c>
      <c r="AO1021" s="184">
        <v>12</v>
      </c>
    </row>
    <row r="1022" spans="36:41" x14ac:dyDescent="0.25">
      <c r="AJ1022" s="184" t="s">
        <v>1187</v>
      </c>
      <c r="AK1022" s="184" t="s">
        <v>1425</v>
      </c>
      <c r="AL1022" s="184" t="s">
        <v>1433</v>
      </c>
      <c r="AM1022" s="184" t="s">
        <v>1512</v>
      </c>
      <c r="AN1022" s="184" t="s">
        <v>1535</v>
      </c>
      <c r="AO1022" s="184">
        <v>12</v>
      </c>
    </row>
    <row r="1023" spans="36:41" x14ac:dyDescent="0.25">
      <c r="AJ1023" s="184" t="s">
        <v>1188</v>
      </c>
      <c r="AK1023" s="184" t="s">
        <v>1425</v>
      </c>
      <c r="AL1023" s="184" t="s">
        <v>1433</v>
      </c>
      <c r="AM1023" s="184" t="s">
        <v>1512</v>
      </c>
      <c r="AN1023" s="184" t="s">
        <v>1535</v>
      </c>
      <c r="AO1023" s="184">
        <v>12</v>
      </c>
    </row>
    <row r="1024" spans="36:41" x14ac:dyDescent="0.25">
      <c r="AJ1024" s="184" t="s">
        <v>1189</v>
      </c>
      <c r="AK1024" s="184" t="s">
        <v>1425</v>
      </c>
      <c r="AL1024" s="184" t="s">
        <v>1433</v>
      </c>
      <c r="AM1024" s="184" t="s">
        <v>1487</v>
      </c>
      <c r="AN1024" s="184" t="s">
        <v>1538</v>
      </c>
      <c r="AO1024" s="184">
        <v>12</v>
      </c>
    </row>
    <row r="1025" spans="36:41" x14ac:dyDescent="0.25">
      <c r="AJ1025" s="184" t="s">
        <v>1190</v>
      </c>
      <c r="AK1025" s="184" t="s">
        <v>1425</v>
      </c>
      <c r="AL1025" s="184" t="s">
        <v>1433</v>
      </c>
      <c r="AM1025" s="184" t="s">
        <v>1492</v>
      </c>
      <c r="AN1025" s="184" t="s">
        <v>1538</v>
      </c>
      <c r="AO1025" s="184">
        <v>12</v>
      </c>
    </row>
    <row r="1026" spans="36:41" x14ac:dyDescent="0.25">
      <c r="AJ1026" s="184" t="s">
        <v>1191</v>
      </c>
      <c r="AK1026" s="184" t="s">
        <v>1425</v>
      </c>
      <c r="AL1026" s="184" t="s">
        <v>1433</v>
      </c>
      <c r="AM1026" s="184" t="s">
        <v>1492</v>
      </c>
      <c r="AN1026" s="184" t="s">
        <v>1538</v>
      </c>
      <c r="AO1026" s="184">
        <v>12</v>
      </c>
    </row>
    <row r="1027" spans="36:41" x14ac:dyDescent="0.25">
      <c r="AJ1027" s="184" t="s">
        <v>1192</v>
      </c>
      <c r="AK1027" s="184" t="s">
        <v>1425</v>
      </c>
      <c r="AL1027" s="184" t="s">
        <v>1433</v>
      </c>
      <c r="AM1027" s="184" t="s">
        <v>1492</v>
      </c>
      <c r="AN1027" s="184" t="s">
        <v>1538</v>
      </c>
      <c r="AO1027" s="184">
        <v>12</v>
      </c>
    </row>
    <row r="1028" spans="36:41" x14ac:dyDescent="0.25">
      <c r="AJ1028" s="184" t="s">
        <v>1193</v>
      </c>
      <c r="AK1028" s="184" t="s">
        <v>1425</v>
      </c>
      <c r="AL1028" s="184" t="s">
        <v>1433</v>
      </c>
      <c r="AM1028" s="184" t="s">
        <v>1487</v>
      </c>
      <c r="AN1028" s="184" t="s">
        <v>1538</v>
      </c>
      <c r="AO1028" s="184">
        <v>12</v>
      </c>
    </row>
    <row r="1029" spans="36:41" x14ac:dyDescent="0.25">
      <c r="AJ1029" s="184" t="s">
        <v>1194</v>
      </c>
      <c r="AK1029" s="184" t="s">
        <v>1425</v>
      </c>
      <c r="AL1029" s="184" t="s">
        <v>1433</v>
      </c>
      <c r="AM1029" s="184" t="s">
        <v>1512</v>
      </c>
      <c r="AN1029" s="184" t="s">
        <v>1535</v>
      </c>
      <c r="AO1029" s="184">
        <v>12</v>
      </c>
    </row>
    <row r="1030" spans="36:41" x14ac:dyDescent="0.25">
      <c r="AJ1030" s="184" t="s">
        <v>1195</v>
      </c>
      <c r="AK1030" s="184" t="s">
        <v>1425</v>
      </c>
      <c r="AL1030" s="184" t="s">
        <v>1433</v>
      </c>
      <c r="AM1030" s="184" t="s">
        <v>1486</v>
      </c>
      <c r="AN1030" s="184" t="s">
        <v>1538</v>
      </c>
      <c r="AO1030" s="184">
        <v>12</v>
      </c>
    </row>
    <row r="1031" spans="36:41" x14ac:dyDescent="0.25">
      <c r="AJ1031" s="184" t="s">
        <v>1196</v>
      </c>
      <c r="AK1031" s="184" t="s">
        <v>1425</v>
      </c>
      <c r="AL1031" s="184" t="s">
        <v>1433</v>
      </c>
      <c r="AM1031" s="184" t="s">
        <v>1503</v>
      </c>
      <c r="AN1031" s="184" t="s">
        <v>1538</v>
      </c>
      <c r="AO1031" s="184">
        <v>12</v>
      </c>
    </row>
    <row r="1032" spans="36:41" x14ac:dyDescent="0.25">
      <c r="AJ1032" s="184" t="s">
        <v>1197</v>
      </c>
      <c r="AK1032" s="184" t="s">
        <v>1425</v>
      </c>
      <c r="AL1032" s="184" t="s">
        <v>1433</v>
      </c>
      <c r="AM1032" s="184" t="s">
        <v>1492</v>
      </c>
      <c r="AN1032" s="184" t="s">
        <v>1538</v>
      </c>
      <c r="AO1032" s="184">
        <v>12</v>
      </c>
    </row>
    <row r="1033" spans="36:41" x14ac:dyDescent="0.25">
      <c r="AJ1033" s="184" t="s">
        <v>1198</v>
      </c>
      <c r="AK1033" s="184" t="s">
        <v>1425</v>
      </c>
      <c r="AL1033" s="184" t="s">
        <v>1433</v>
      </c>
      <c r="AM1033" s="184" t="s">
        <v>1492</v>
      </c>
      <c r="AN1033" s="184" t="s">
        <v>1538</v>
      </c>
      <c r="AO1033" s="184">
        <v>12</v>
      </c>
    </row>
    <row r="1034" spans="36:41" x14ac:dyDescent="0.25">
      <c r="AJ1034" s="184" t="s">
        <v>1199</v>
      </c>
      <c r="AK1034" s="184" t="s">
        <v>1425</v>
      </c>
      <c r="AL1034" s="184" t="s">
        <v>1433</v>
      </c>
      <c r="AM1034" s="184" t="s">
        <v>1492</v>
      </c>
      <c r="AN1034" s="184" t="s">
        <v>1538</v>
      </c>
      <c r="AO1034" s="184">
        <v>12</v>
      </c>
    </row>
    <row r="1035" spans="36:41" x14ac:dyDescent="0.25">
      <c r="AJ1035" s="184" t="s">
        <v>1200</v>
      </c>
      <c r="AK1035" s="184" t="s">
        <v>96</v>
      </c>
      <c r="AL1035" s="184" t="s">
        <v>1431</v>
      </c>
      <c r="AM1035" s="184" t="s">
        <v>1489</v>
      </c>
      <c r="AN1035" s="184" t="s">
        <v>1538</v>
      </c>
      <c r="AO1035" s="184">
        <v>12</v>
      </c>
    </row>
    <row r="1036" spans="36:41" x14ac:dyDescent="0.25">
      <c r="AJ1036" s="184" t="s">
        <v>1201</v>
      </c>
      <c r="AK1036" s="184" t="s">
        <v>143</v>
      </c>
      <c r="AL1036" s="184" t="s">
        <v>1431</v>
      </c>
      <c r="AM1036" s="184" t="s">
        <v>1457</v>
      </c>
      <c r="AN1036" s="184" t="s">
        <v>137</v>
      </c>
      <c r="AO1036" s="184">
        <v>6</v>
      </c>
    </row>
    <row r="1037" spans="36:41" x14ac:dyDescent="0.25">
      <c r="AJ1037" s="184" t="s">
        <v>1202</v>
      </c>
      <c r="AK1037" s="184" t="s">
        <v>143</v>
      </c>
      <c r="AL1037" s="184" t="s">
        <v>1431</v>
      </c>
      <c r="AM1037" s="184" t="s">
        <v>1457</v>
      </c>
      <c r="AN1037" s="184" t="s">
        <v>137</v>
      </c>
      <c r="AO1037" s="184">
        <v>6</v>
      </c>
    </row>
    <row r="1038" spans="36:41" x14ac:dyDescent="0.25">
      <c r="AJ1038" s="184" t="s">
        <v>1203</v>
      </c>
      <c r="AK1038" s="184" t="s">
        <v>154</v>
      </c>
      <c r="AL1038" s="184" t="s">
        <v>1431</v>
      </c>
      <c r="AM1038" s="184" t="s">
        <v>1468</v>
      </c>
      <c r="AN1038" s="184" t="s">
        <v>1537</v>
      </c>
      <c r="AO1038" s="184">
        <v>12</v>
      </c>
    </row>
    <row r="1039" spans="36:41" x14ac:dyDescent="0.25">
      <c r="AJ1039" s="184" t="s">
        <v>1204</v>
      </c>
      <c r="AK1039" s="184" t="s">
        <v>1389</v>
      </c>
      <c r="AL1039" s="184" t="s">
        <v>1433</v>
      </c>
      <c r="AM1039" s="184" t="s">
        <v>1438</v>
      </c>
      <c r="AN1039" s="184" t="s">
        <v>1535</v>
      </c>
      <c r="AO1039" s="184">
        <v>12</v>
      </c>
    </row>
    <row r="1040" spans="36:41" x14ac:dyDescent="0.25">
      <c r="AJ1040" s="184" t="s">
        <v>1205</v>
      </c>
      <c r="AK1040" s="184" t="s">
        <v>1389</v>
      </c>
      <c r="AL1040" s="184" t="s">
        <v>1433</v>
      </c>
      <c r="AM1040" s="184" t="s">
        <v>1438</v>
      </c>
      <c r="AN1040" s="184" t="s">
        <v>1535</v>
      </c>
      <c r="AO1040" s="184">
        <v>12</v>
      </c>
    </row>
    <row r="1041" spans="36:41" x14ac:dyDescent="0.25">
      <c r="AJ1041" s="184" t="s">
        <v>1206</v>
      </c>
      <c r="AK1041" s="184" t="s">
        <v>1389</v>
      </c>
      <c r="AL1041" s="184" t="s">
        <v>1433</v>
      </c>
      <c r="AM1041" s="184" t="s">
        <v>1438</v>
      </c>
      <c r="AN1041" s="184" t="s">
        <v>1535</v>
      </c>
      <c r="AO1041" s="184">
        <v>12</v>
      </c>
    </row>
    <row r="1042" spans="36:41" x14ac:dyDescent="0.25">
      <c r="AJ1042" s="184" t="s">
        <v>1207</v>
      </c>
      <c r="AK1042" s="184" t="s">
        <v>1389</v>
      </c>
      <c r="AL1042" s="184" t="s">
        <v>1433</v>
      </c>
      <c r="AM1042" s="184" t="s">
        <v>1438</v>
      </c>
      <c r="AN1042" s="184" t="s">
        <v>1535</v>
      </c>
      <c r="AO1042" s="184">
        <v>12</v>
      </c>
    </row>
    <row r="1043" spans="36:41" x14ac:dyDescent="0.25">
      <c r="AJ1043" s="184" t="s">
        <v>1208</v>
      </c>
      <c r="AK1043" s="184" t="s">
        <v>1427</v>
      </c>
      <c r="AL1043" s="184" t="s">
        <v>1433</v>
      </c>
      <c r="AM1043" s="184" t="s">
        <v>1435</v>
      </c>
      <c r="AN1043" s="184" t="s">
        <v>1535</v>
      </c>
      <c r="AO1043" s="184">
        <v>24</v>
      </c>
    </row>
    <row r="1044" spans="36:41" x14ac:dyDescent="0.25">
      <c r="AJ1044" s="184" t="s">
        <v>1209</v>
      </c>
      <c r="AK1044" s="184" t="s">
        <v>1427</v>
      </c>
      <c r="AL1044" s="184" t="s">
        <v>1433</v>
      </c>
      <c r="AM1044" s="184" t="s">
        <v>1435</v>
      </c>
      <c r="AN1044" s="184" t="s">
        <v>1535</v>
      </c>
      <c r="AO1044" s="184">
        <v>24</v>
      </c>
    </row>
    <row r="1045" spans="36:41" x14ac:dyDescent="0.25">
      <c r="AJ1045" s="184" t="s">
        <v>1210</v>
      </c>
      <c r="AK1045" s="184" t="s">
        <v>1427</v>
      </c>
      <c r="AL1045" s="184" t="s">
        <v>1433</v>
      </c>
      <c r="AM1045" s="184" t="s">
        <v>1435</v>
      </c>
      <c r="AN1045" s="184" t="s">
        <v>1535</v>
      </c>
      <c r="AO1045" s="184">
        <v>24</v>
      </c>
    </row>
    <row r="1046" spans="36:41" x14ac:dyDescent="0.25">
      <c r="AJ1046" s="184" t="s">
        <v>1211</v>
      </c>
      <c r="AK1046" s="184" t="s">
        <v>1427</v>
      </c>
      <c r="AL1046" s="184" t="s">
        <v>1433</v>
      </c>
      <c r="AM1046" s="184" t="s">
        <v>1435</v>
      </c>
      <c r="AN1046" s="184" t="s">
        <v>1535</v>
      </c>
      <c r="AO1046" s="184">
        <v>24</v>
      </c>
    </row>
    <row r="1047" spans="36:41" x14ac:dyDescent="0.25">
      <c r="AJ1047" s="184" t="s">
        <v>1212</v>
      </c>
      <c r="AK1047" s="184" t="s">
        <v>1427</v>
      </c>
      <c r="AL1047" s="184" t="s">
        <v>1433</v>
      </c>
      <c r="AM1047" s="184" t="s">
        <v>1435</v>
      </c>
      <c r="AN1047" s="184" t="s">
        <v>1535</v>
      </c>
      <c r="AO1047" s="184">
        <v>24</v>
      </c>
    </row>
    <row r="1048" spans="36:41" x14ac:dyDescent="0.25">
      <c r="AJ1048" s="184" t="s">
        <v>1213</v>
      </c>
      <c r="AK1048" s="184" t="s">
        <v>1427</v>
      </c>
      <c r="AL1048" s="184" t="s">
        <v>1433</v>
      </c>
      <c r="AM1048" s="184" t="s">
        <v>1435</v>
      </c>
      <c r="AN1048" s="184" t="s">
        <v>1535</v>
      </c>
      <c r="AO1048" s="184">
        <v>24</v>
      </c>
    </row>
    <row r="1049" spans="36:41" x14ac:dyDescent="0.25">
      <c r="AJ1049" s="184" t="s">
        <v>1214</v>
      </c>
      <c r="AK1049" s="184" t="s">
        <v>1427</v>
      </c>
      <c r="AL1049" s="184" t="s">
        <v>1433</v>
      </c>
      <c r="AM1049" s="184" t="s">
        <v>1435</v>
      </c>
      <c r="AN1049" s="184" t="s">
        <v>1535</v>
      </c>
      <c r="AO1049" s="184">
        <v>24</v>
      </c>
    </row>
    <row r="1050" spans="36:41" x14ac:dyDescent="0.25">
      <c r="AJ1050" s="184" t="s">
        <v>1215</v>
      </c>
      <c r="AK1050" s="184" t="s">
        <v>1427</v>
      </c>
      <c r="AL1050" s="184" t="s">
        <v>1433</v>
      </c>
      <c r="AM1050" s="184" t="s">
        <v>1435</v>
      </c>
      <c r="AN1050" s="184" t="s">
        <v>1535</v>
      </c>
      <c r="AO1050" s="184">
        <v>24</v>
      </c>
    </row>
    <row r="1051" spans="36:41" x14ac:dyDescent="0.25">
      <c r="AJ1051" s="184" t="s">
        <v>1216</v>
      </c>
      <c r="AK1051" s="184" t="s">
        <v>1427</v>
      </c>
      <c r="AL1051" s="184" t="s">
        <v>1433</v>
      </c>
      <c r="AM1051" s="184" t="s">
        <v>1435</v>
      </c>
      <c r="AN1051" s="184" t="s">
        <v>1535</v>
      </c>
      <c r="AO1051" s="184">
        <v>24</v>
      </c>
    </row>
    <row r="1052" spans="36:41" x14ac:dyDescent="0.25">
      <c r="AJ1052" s="184" t="s">
        <v>1217</v>
      </c>
      <c r="AK1052" s="184" t="s">
        <v>1427</v>
      </c>
      <c r="AL1052" s="184" t="s">
        <v>1433</v>
      </c>
      <c r="AM1052" s="184" t="s">
        <v>1435</v>
      </c>
      <c r="AN1052" s="184" t="s">
        <v>1535</v>
      </c>
      <c r="AO1052" s="184">
        <v>24</v>
      </c>
    </row>
    <row r="1053" spans="36:41" x14ac:dyDescent="0.25">
      <c r="AJ1053" s="184" t="s">
        <v>1218</v>
      </c>
      <c r="AK1053" s="184" t="s">
        <v>153</v>
      </c>
      <c r="AL1053" s="184" t="s">
        <v>1433</v>
      </c>
      <c r="AM1053" s="184" t="s">
        <v>1435</v>
      </c>
      <c r="AN1053" s="184" t="s">
        <v>1535</v>
      </c>
      <c r="AO1053" s="184">
        <v>24</v>
      </c>
    </row>
    <row r="1054" spans="36:41" x14ac:dyDescent="0.25">
      <c r="AJ1054" s="184" t="s">
        <v>1219</v>
      </c>
      <c r="AK1054" s="184" t="s">
        <v>153</v>
      </c>
      <c r="AL1054" s="184" t="s">
        <v>1433</v>
      </c>
      <c r="AM1054" s="184" t="s">
        <v>1435</v>
      </c>
      <c r="AN1054" s="184" t="s">
        <v>1535</v>
      </c>
      <c r="AO1054" s="184">
        <v>24</v>
      </c>
    </row>
    <row r="1055" spans="36:41" x14ac:dyDescent="0.25">
      <c r="AJ1055" s="184" t="s">
        <v>1220</v>
      </c>
      <c r="AK1055" s="184" t="s">
        <v>153</v>
      </c>
      <c r="AL1055" s="184" t="s">
        <v>1433</v>
      </c>
      <c r="AM1055" s="184" t="s">
        <v>1435</v>
      </c>
      <c r="AN1055" s="184" t="s">
        <v>1535</v>
      </c>
      <c r="AO1055" s="184">
        <v>24</v>
      </c>
    </row>
    <row r="1056" spans="36:41" x14ac:dyDescent="0.25">
      <c r="AJ1056" s="184" t="s">
        <v>1221</v>
      </c>
      <c r="AK1056" s="184" t="s">
        <v>153</v>
      </c>
      <c r="AL1056" s="184" t="s">
        <v>1433</v>
      </c>
      <c r="AM1056" s="184" t="s">
        <v>1435</v>
      </c>
      <c r="AN1056" s="184" t="s">
        <v>1535</v>
      </c>
      <c r="AO1056" s="184">
        <v>24</v>
      </c>
    </row>
    <row r="1057" spans="36:41" x14ac:dyDescent="0.25">
      <c r="AJ1057" s="184" t="s">
        <v>1222</v>
      </c>
      <c r="AK1057" s="184" t="s">
        <v>153</v>
      </c>
      <c r="AL1057" s="184" t="s">
        <v>1433</v>
      </c>
      <c r="AM1057" s="184" t="s">
        <v>1435</v>
      </c>
      <c r="AN1057" s="184" t="s">
        <v>1535</v>
      </c>
      <c r="AO1057" s="184">
        <v>24</v>
      </c>
    </row>
    <row r="1058" spans="36:41" x14ac:dyDescent="0.25">
      <c r="AJ1058" s="184" t="s">
        <v>1223</v>
      </c>
      <c r="AK1058" s="184" t="s">
        <v>153</v>
      </c>
      <c r="AL1058" s="184" t="s">
        <v>1433</v>
      </c>
      <c r="AM1058" s="184" t="s">
        <v>1435</v>
      </c>
      <c r="AN1058" s="184" t="s">
        <v>1535</v>
      </c>
      <c r="AO1058" s="184">
        <v>24</v>
      </c>
    </row>
    <row r="1059" spans="36:41" x14ac:dyDescent="0.25">
      <c r="AJ1059" s="184" t="s">
        <v>1224</v>
      </c>
      <c r="AK1059" s="184" t="s">
        <v>153</v>
      </c>
      <c r="AL1059" s="184" t="s">
        <v>1433</v>
      </c>
      <c r="AM1059" s="184" t="s">
        <v>1435</v>
      </c>
      <c r="AN1059" s="184" t="s">
        <v>1535</v>
      </c>
      <c r="AO1059" s="184">
        <v>24</v>
      </c>
    </row>
    <row r="1060" spans="36:41" x14ac:dyDescent="0.25">
      <c r="AJ1060" s="184" t="s">
        <v>1225</v>
      </c>
      <c r="AK1060" s="184" t="s">
        <v>153</v>
      </c>
      <c r="AL1060" s="184" t="s">
        <v>1433</v>
      </c>
      <c r="AM1060" s="184" t="s">
        <v>1435</v>
      </c>
      <c r="AN1060" s="184" t="s">
        <v>1535</v>
      </c>
      <c r="AO1060" s="184">
        <v>24</v>
      </c>
    </row>
    <row r="1061" spans="36:41" x14ac:dyDescent="0.25">
      <c r="AJ1061" s="184" t="s">
        <v>1226</v>
      </c>
      <c r="AK1061" s="184" t="s">
        <v>153</v>
      </c>
      <c r="AL1061" s="184" t="s">
        <v>1433</v>
      </c>
      <c r="AM1061" s="184" t="s">
        <v>1435</v>
      </c>
      <c r="AN1061" s="184" t="s">
        <v>1535</v>
      </c>
      <c r="AO1061" s="184">
        <v>24</v>
      </c>
    </row>
    <row r="1062" spans="36:41" x14ac:dyDescent="0.25">
      <c r="AJ1062" s="184" t="s">
        <v>1227</v>
      </c>
      <c r="AK1062" s="184" t="s">
        <v>153</v>
      </c>
      <c r="AL1062" s="184" t="s">
        <v>1433</v>
      </c>
      <c r="AM1062" s="184" t="s">
        <v>1435</v>
      </c>
      <c r="AN1062" s="184" t="s">
        <v>1535</v>
      </c>
      <c r="AO1062" s="184">
        <v>24</v>
      </c>
    </row>
    <row r="1063" spans="36:41" x14ac:dyDescent="0.25">
      <c r="AJ1063" s="184" t="s">
        <v>1228</v>
      </c>
      <c r="AK1063" s="184" t="s">
        <v>154</v>
      </c>
      <c r="AL1063" s="184" t="s">
        <v>1433</v>
      </c>
      <c r="AM1063" s="184" t="s">
        <v>1435</v>
      </c>
      <c r="AN1063" s="184" t="s">
        <v>1535</v>
      </c>
      <c r="AO1063" s="184">
        <v>24</v>
      </c>
    </row>
    <row r="1064" spans="36:41" x14ac:dyDescent="0.25">
      <c r="AJ1064" s="184" t="s">
        <v>1229</v>
      </c>
      <c r="AK1064" s="184" t="s">
        <v>154</v>
      </c>
      <c r="AL1064" s="184" t="s">
        <v>1431</v>
      </c>
      <c r="AM1064" s="184" t="s">
        <v>1439</v>
      </c>
      <c r="AN1064" s="184" t="s">
        <v>1535</v>
      </c>
      <c r="AO1064" s="184">
        <v>12</v>
      </c>
    </row>
    <row r="1065" spans="36:41" x14ac:dyDescent="0.25">
      <c r="AJ1065" s="184" t="s">
        <v>1230</v>
      </c>
      <c r="AK1065" s="184" t="s">
        <v>154</v>
      </c>
      <c r="AL1065" s="184" t="s">
        <v>1431</v>
      </c>
      <c r="AM1065" s="184" t="s">
        <v>1439</v>
      </c>
      <c r="AN1065" s="184" t="s">
        <v>1535</v>
      </c>
      <c r="AO1065" s="184">
        <v>12</v>
      </c>
    </row>
    <row r="1066" spans="36:41" x14ac:dyDescent="0.25">
      <c r="AJ1066" s="184" t="s">
        <v>1231</v>
      </c>
      <c r="AK1066" s="184" t="s">
        <v>154</v>
      </c>
      <c r="AL1066" s="184" t="s">
        <v>1431</v>
      </c>
      <c r="AM1066" s="184" t="s">
        <v>1439</v>
      </c>
      <c r="AN1066" s="184" t="s">
        <v>1535</v>
      </c>
      <c r="AO1066" s="184">
        <v>12</v>
      </c>
    </row>
    <row r="1067" spans="36:41" x14ac:dyDescent="0.25">
      <c r="AJ1067" s="184" t="s">
        <v>1232</v>
      </c>
      <c r="AK1067" s="184" t="s">
        <v>154</v>
      </c>
      <c r="AL1067" s="184" t="s">
        <v>1431</v>
      </c>
      <c r="AM1067" s="184" t="s">
        <v>1439</v>
      </c>
      <c r="AN1067" s="184" t="s">
        <v>1535</v>
      </c>
      <c r="AO1067" s="184">
        <v>12</v>
      </c>
    </row>
    <row r="1068" spans="36:41" x14ac:dyDescent="0.25">
      <c r="AJ1068" s="184" t="s">
        <v>1233</v>
      </c>
      <c r="AK1068" s="184" t="s">
        <v>154</v>
      </c>
      <c r="AL1068" s="184" t="s">
        <v>1431</v>
      </c>
      <c r="AM1068" s="184" t="s">
        <v>1439</v>
      </c>
      <c r="AN1068" s="184" t="s">
        <v>1535</v>
      </c>
      <c r="AO1068" s="184">
        <v>12</v>
      </c>
    </row>
    <row r="1069" spans="36:41" x14ac:dyDescent="0.25">
      <c r="AJ1069" s="184" t="s">
        <v>1234</v>
      </c>
      <c r="AK1069" s="184" t="s">
        <v>154</v>
      </c>
      <c r="AL1069" s="184" t="s">
        <v>1431</v>
      </c>
      <c r="AM1069" s="184" t="s">
        <v>1439</v>
      </c>
      <c r="AN1069" s="184" t="s">
        <v>1535</v>
      </c>
      <c r="AO1069" s="184">
        <v>12</v>
      </c>
    </row>
    <row r="1070" spans="36:41" x14ac:dyDescent="0.25">
      <c r="AJ1070" s="184" t="s">
        <v>1235</v>
      </c>
      <c r="AK1070" s="184" t="s">
        <v>154</v>
      </c>
      <c r="AL1070" s="184" t="s">
        <v>1431</v>
      </c>
      <c r="AM1070" s="184" t="s">
        <v>1513</v>
      </c>
      <c r="AN1070" s="184" t="s">
        <v>1535</v>
      </c>
      <c r="AO1070" s="184">
        <v>12</v>
      </c>
    </row>
    <row r="1071" spans="36:41" x14ac:dyDescent="0.25">
      <c r="AJ1071" s="184" t="s">
        <v>1236</v>
      </c>
      <c r="AK1071" s="184" t="s">
        <v>154</v>
      </c>
      <c r="AL1071" s="184" t="s">
        <v>1431</v>
      </c>
      <c r="AM1071" s="184" t="s">
        <v>1513</v>
      </c>
      <c r="AN1071" s="184" t="s">
        <v>1535</v>
      </c>
      <c r="AO1071" s="184">
        <v>12</v>
      </c>
    </row>
    <row r="1072" spans="36:41" x14ac:dyDescent="0.25">
      <c r="AJ1072" s="184" t="s">
        <v>1237</v>
      </c>
      <c r="AK1072" s="184" t="s">
        <v>154</v>
      </c>
      <c r="AL1072" s="184" t="s">
        <v>1431</v>
      </c>
      <c r="AM1072" s="184" t="s">
        <v>1513</v>
      </c>
      <c r="AN1072" s="184" t="s">
        <v>1535</v>
      </c>
      <c r="AO1072" s="184">
        <v>12</v>
      </c>
    </row>
    <row r="1073" spans="36:41" x14ac:dyDescent="0.25">
      <c r="AJ1073" s="184" t="s">
        <v>1238</v>
      </c>
      <c r="AK1073" s="184" t="s">
        <v>154</v>
      </c>
      <c r="AL1073" s="184" t="s">
        <v>1431</v>
      </c>
      <c r="AM1073" s="184" t="s">
        <v>1513</v>
      </c>
      <c r="AN1073" s="184" t="s">
        <v>1535</v>
      </c>
      <c r="AO1073" s="184">
        <v>12</v>
      </c>
    </row>
    <row r="1074" spans="36:41" x14ac:dyDescent="0.25">
      <c r="AJ1074" s="184" t="s">
        <v>1239</v>
      </c>
      <c r="AK1074" s="184" t="s">
        <v>154</v>
      </c>
      <c r="AL1074" s="184" t="s">
        <v>1431</v>
      </c>
      <c r="AM1074" s="184" t="s">
        <v>1513</v>
      </c>
      <c r="AN1074" s="184" t="s">
        <v>1535</v>
      </c>
      <c r="AO1074" s="184">
        <v>12</v>
      </c>
    </row>
    <row r="1075" spans="36:41" x14ac:dyDescent="0.25">
      <c r="AJ1075" s="184" t="s">
        <v>1240</v>
      </c>
      <c r="AK1075" s="184" t="s">
        <v>154</v>
      </c>
      <c r="AL1075" s="184" t="s">
        <v>1431</v>
      </c>
      <c r="AM1075" s="184" t="s">
        <v>1513</v>
      </c>
      <c r="AN1075" s="184" t="s">
        <v>1535</v>
      </c>
      <c r="AO1075" s="184">
        <v>12</v>
      </c>
    </row>
    <row r="1076" spans="36:41" x14ac:dyDescent="0.25">
      <c r="AJ1076" s="184" t="s">
        <v>1241</v>
      </c>
      <c r="AK1076" s="184" t="s">
        <v>154</v>
      </c>
      <c r="AL1076" s="184" t="s">
        <v>1431</v>
      </c>
      <c r="AM1076" s="184" t="s">
        <v>1513</v>
      </c>
      <c r="AN1076" s="184" t="s">
        <v>1535</v>
      </c>
      <c r="AO1076" s="184">
        <v>12</v>
      </c>
    </row>
    <row r="1077" spans="36:41" x14ac:dyDescent="0.25">
      <c r="AJ1077" s="184" t="s">
        <v>1242</v>
      </c>
      <c r="AK1077" s="184" t="s">
        <v>1428</v>
      </c>
      <c r="AL1077" s="184" t="s">
        <v>1431</v>
      </c>
      <c r="AM1077" s="184" t="s">
        <v>1736</v>
      </c>
      <c r="AN1077" s="184" t="s">
        <v>1538</v>
      </c>
      <c r="AO1077" s="184">
        <v>12</v>
      </c>
    </row>
    <row r="1078" spans="36:41" x14ac:dyDescent="0.25">
      <c r="AJ1078" s="184" t="s">
        <v>1243</v>
      </c>
      <c r="AK1078" s="184" t="s">
        <v>1428</v>
      </c>
      <c r="AL1078" s="184" t="s">
        <v>1431</v>
      </c>
      <c r="AM1078" s="184" t="s">
        <v>1736</v>
      </c>
      <c r="AN1078" s="184" t="s">
        <v>1538</v>
      </c>
      <c r="AO1078" s="184">
        <v>12</v>
      </c>
    </row>
    <row r="1079" spans="36:41" x14ac:dyDescent="0.25">
      <c r="AJ1079" s="184" t="s">
        <v>1244</v>
      </c>
      <c r="AK1079" s="184" t="s">
        <v>1428</v>
      </c>
      <c r="AL1079" s="184" t="s">
        <v>1431</v>
      </c>
      <c r="AM1079" s="184" t="s">
        <v>1736</v>
      </c>
      <c r="AN1079" s="184" t="s">
        <v>1538</v>
      </c>
      <c r="AO1079" s="184">
        <v>12</v>
      </c>
    </row>
    <row r="1080" spans="36:41" x14ac:dyDescent="0.25">
      <c r="AJ1080" s="184" t="s">
        <v>1245</v>
      </c>
      <c r="AK1080" s="184" t="s">
        <v>1428</v>
      </c>
      <c r="AL1080" s="184" t="s">
        <v>1431</v>
      </c>
      <c r="AM1080" s="184" t="s">
        <v>1736</v>
      </c>
      <c r="AN1080" s="184" t="s">
        <v>1538</v>
      </c>
      <c r="AO1080" s="184">
        <v>12</v>
      </c>
    </row>
    <row r="1081" spans="36:41" x14ac:dyDescent="0.25">
      <c r="AJ1081" s="184" t="s">
        <v>1246</v>
      </c>
      <c r="AK1081" s="184" t="s">
        <v>1428</v>
      </c>
      <c r="AL1081" s="184" t="s">
        <v>1431</v>
      </c>
      <c r="AM1081" s="184" t="s">
        <v>1736</v>
      </c>
      <c r="AN1081" s="184" t="s">
        <v>1538</v>
      </c>
      <c r="AO1081" s="184">
        <v>12</v>
      </c>
    </row>
    <row r="1082" spans="36:41" x14ac:dyDescent="0.25">
      <c r="AJ1082" s="184" t="s">
        <v>1247</v>
      </c>
      <c r="AK1082" s="184" t="s">
        <v>1428</v>
      </c>
      <c r="AL1082" s="184" t="s">
        <v>1431</v>
      </c>
      <c r="AM1082" s="184" t="s">
        <v>1736</v>
      </c>
      <c r="AN1082" s="184" t="s">
        <v>1538</v>
      </c>
      <c r="AO1082" s="184">
        <v>12</v>
      </c>
    </row>
    <row r="1083" spans="36:41" x14ac:dyDescent="0.25">
      <c r="AJ1083" s="184" t="s">
        <v>1248</v>
      </c>
      <c r="AK1083" s="184" t="s">
        <v>1428</v>
      </c>
      <c r="AL1083" s="184" t="s">
        <v>1431</v>
      </c>
      <c r="AM1083" s="184" t="s">
        <v>1736</v>
      </c>
      <c r="AN1083" s="184" t="s">
        <v>1538</v>
      </c>
      <c r="AO1083" s="184">
        <v>12</v>
      </c>
    </row>
    <row r="1084" spans="36:41" x14ac:dyDescent="0.25">
      <c r="AJ1084" s="184" t="s">
        <v>1249</v>
      </c>
      <c r="AK1084" s="184" t="s">
        <v>1428</v>
      </c>
      <c r="AL1084" s="184" t="s">
        <v>1431</v>
      </c>
      <c r="AM1084" s="184" t="s">
        <v>1736</v>
      </c>
      <c r="AN1084" s="184" t="s">
        <v>1538</v>
      </c>
      <c r="AO1084" s="184">
        <v>12</v>
      </c>
    </row>
    <row r="1085" spans="36:41" x14ac:dyDescent="0.25">
      <c r="AJ1085" s="184" t="s">
        <v>1250</v>
      </c>
      <c r="AK1085" s="184" t="s">
        <v>1428</v>
      </c>
      <c r="AL1085" s="184" t="s">
        <v>1431</v>
      </c>
      <c r="AM1085" s="184" t="s">
        <v>1736</v>
      </c>
      <c r="AN1085" s="184" t="s">
        <v>1538</v>
      </c>
      <c r="AO1085" s="184">
        <v>12</v>
      </c>
    </row>
    <row r="1086" spans="36:41" x14ac:dyDescent="0.25">
      <c r="AJ1086" s="184" t="s">
        <v>1251</v>
      </c>
      <c r="AK1086" s="184" t="s">
        <v>1428</v>
      </c>
      <c r="AL1086" s="184" t="s">
        <v>1431</v>
      </c>
      <c r="AM1086" s="184" t="s">
        <v>1736</v>
      </c>
      <c r="AN1086" s="184" t="s">
        <v>1538</v>
      </c>
      <c r="AO1086" s="184">
        <v>12</v>
      </c>
    </row>
    <row r="1087" spans="36:41" x14ac:dyDescent="0.25">
      <c r="AJ1087" s="184" t="s">
        <v>1252</v>
      </c>
      <c r="AK1087" s="184" t="s">
        <v>1428</v>
      </c>
      <c r="AL1087" s="184" t="s">
        <v>1431</v>
      </c>
      <c r="AM1087" s="184" t="s">
        <v>1736</v>
      </c>
      <c r="AN1087" s="184" t="s">
        <v>1538</v>
      </c>
      <c r="AO1087" s="184">
        <v>12</v>
      </c>
    </row>
    <row r="1088" spans="36:41" x14ac:dyDescent="0.25">
      <c r="AJ1088" s="184" t="s">
        <v>1253</v>
      </c>
      <c r="AK1088" s="184" t="s">
        <v>1428</v>
      </c>
      <c r="AL1088" s="184" t="s">
        <v>1431</v>
      </c>
      <c r="AM1088" s="184" t="s">
        <v>1736</v>
      </c>
      <c r="AN1088" s="184" t="s">
        <v>1538</v>
      </c>
      <c r="AO1088" s="184">
        <v>12</v>
      </c>
    </row>
    <row r="1089" spans="36:41" x14ac:dyDescent="0.25">
      <c r="AJ1089" s="184" t="s">
        <v>1254</v>
      </c>
      <c r="AK1089" s="184" t="s">
        <v>1428</v>
      </c>
      <c r="AL1089" s="184" t="s">
        <v>1431</v>
      </c>
      <c r="AM1089" s="184" t="s">
        <v>1736</v>
      </c>
      <c r="AN1089" s="184" t="s">
        <v>1538</v>
      </c>
      <c r="AO1089" s="184">
        <v>12</v>
      </c>
    </row>
    <row r="1090" spans="36:41" x14ac:dyDescent="0.25">
      <c r="AJ1090" s="184" t="s">
        <v>1255</v>
      </c>
      <c r="AK1090" s="184" t="s">
        <v>1428</v>
      </c>
      <c r="AL1090" s="184" t="s">
        <v>1431</v>
      </c>
      <c r="AM1090" s="184" t="s">
        <v>1736</v>
      </c>
      <c r="AN1090" s="184" t="s">
        <v>1538</v>
      </c>
      <c r="AO1090" s="184">
        <v>12</v>
      </c>
    </row>
    <row r="1091" spans="36:41" x14ac:dyDescent="0.25">
      <c r="AJ1091" s="184" t="s">
        <v>1256</v>
      </c>
      <c r="AK1091" s="184" t="s">
        <v>1428</v>
      </c>
      <c r="AL1091" s="184" t="s">
        <v>1431</v>
      </c>
      <c r="AM1091" s="184" t="s">
        <v>1736</v>
      </c>
      <c r="AN1091" s="184" t="s">
        <v>1538</v>
      </c>
      <c r="AO1091" s="184">
        <v>12</v>
      </c>
    </row>
    <row r="1092" spans="36:41" x14ac:dyDescent="0.25">
      <c r="AJ1092" s="184" t="s">
        <v>1257</v>
      </c>
      <c r="AK1092" s="184" t="s">
        <v>1428</v>
      </c>
      <c r="AL1092" s="184" t="s">
        <v>1431</v>
      </c>
      <c r="AM1092" s="184" t="s">
        <v>1736</v>
      </c>
      <c r="AN1092" s="184" t="s">
        <v>1538</v>
      </c>
      <c r="AO1092" s="184">
        <v>12</v>
      </c>
    </row>
    <row r="1093" spans="36:41" x14ac:dyDescent="0.25">
      <c r="AJ1093" s="184" t="s">
        <v>1258</v>
      </c>
      <c r="AK1093" s="184" t="s">
        <v>1428</v>
      </c>
      <c r="AL1093" s="184" t="s">
        <v>1431</v>
      </c>
      <c r="AM1093" s="184" t="s">
        <v>1736</v>
      </c>
      <c r="AN1093" s="184" t="s">
        <v>1538</v>
      </c>
      <c r="AO1093" s="184">
        <v>12</v>
      </c>
    </row>
    <row r="1094" spans="36:41" x14ac:dyDescent="0.25">
      <c r="AJ1094" s="184" t="s">
        <v>1259</v>
      </c>
      <c r="AK1094" s="184" t="s">
        <v>1428</v>
      </c>
      <c r="AL1094" s="184" t="s">
        <v>1431</v>
      </c>
      <c r="AM1094" s="184" t="s">
        <v>1736</v>
      </c>
      <c r="AN1094" s="184" t="s">
        <v>1538</v>
      </c>
      <c r="AO1094" s="184">
        <v>12</v>
      </c>
    </row>
    <row r="1095" spans="36:41" x14ac:dyDescent="0.25">
      <c r="AJ1095" s="184" t="s">
        <v>1260</v>
      </c>
      <c r="AK1095" s="184" t="s">
        <v>1428</v>
      </c>
      <c r="AL1095" s="184" t="s">
        <v>1431</v>
      </c>
      <c r="AM1095" s="184" t="s">
        <v>1736</v>
      </c>
      <c r="AN1095" s="184" t="s">
        <v>1538</v>
      </c>
      <c r="AO1095" s="184">
        <v>12</v>
      </c>
    </row>
    <row r="1096" spans="36:41" x14ac:dyDescent="0.25">
      <c r="AJ1096" s="184" t="s">
        <v>1261</v>
      </c>
      <c r="AK1096" s="184" t="s">
        <v>1428</v>
      </c>
      <c r="AL1096" s="184" t="s">
        <v>1431</v>
      </c>
      <c r="AM1096" s="184" t="s">
        <v>1736</v>
      </c>
      <c r="AN1096" s="184" t="s">
        <v>1538</v>
      </c>
      <c r="AO1096" s="184">
        <v>12</v>
      </c>
    </row>
    <row r="1097" spans="36:41" x14ac:dyDescent="0.25">
      <c r="AJ1097" s="184" t="s">
        <v>1262</v>
      </c>
      <c r="AK1097" s="184" t="s">
        <v>1428</v>
      </c>
      <c r="AL1097" s="184" t="s">
        <v>1431</v>
      </c>
      <c r="AM1097" s="184" t="s">
        <v>1675</v>
      </c>
      <c r="AN1097" s="184" t="s">
        <v>1538</v>
      </c>
      <c r="AO1097" s="184">
        <v>12</v>
      </c>
    </row>
    <row r="1098" spans="36:41" x14ac:dyDescent="0.25">
      <c r="AJ1098" s="184" t="s">
        <v>1263</v>
      </c>
      <c r="AK1098" s="184" t="s">
        <v>1428</v>
      </c>
      <c r="AL1098" s="184" t="s">
        <v>1431</v>
      </c>
      <c r="AM1098" s="184" t="s">
        <v>1675</v>
      </c>
      <c r="AN1098" s="184" t="s">
        <v>1538</v>
      </c>
      <c r="AO1098" s="184">
        <v>12</v>
      </c>
    </row>
    <row r="1099" spans="36:41" x14ac:dyDescent="0.25">
      <c r="AJ1099" s="184" t="s">
        <v>1264</v>
      </c>
      <c r="AK1099" s="184" t="s">
        <v>1428</v>
      </c>
      <c r="AL1099" s="184" t="s">
        <v>1431</v>
      </c>
      <c r="AM1099" s="184" t="s">
        <v>1675</v>
      </c>
      <c r="AN1099" s="184" t="s">
        <v>1538</v>
      </c>
      <c r="AO1099" s="184">
        <v>12</v>
      </c>
    </row>
    <row r="1100" spans="36:41" x14ac:dyDescent="0.25">
      <c r="AJ1100" s="184" t="s">
        <v>1265</v>
      </c>
      <c r="AK1100" s="184" t="s">
        <v>1428</v>
      </c>
      <c r="AL1100" s="184" t="s">
        <v>1431</v>
      </c>
      <c r="AM1100" s="184" t="s">
        <v>1675</v>
      </c>
      <c r="AN1100" s="184" t="s">
        <v>1538</v>
      </c>
      <c r="AO1100" s="184">
        <v>12</v>
      </c>
    </row>
    <row r="1101" spans="36:41" x14ac:dyDescent="0.25">
      <c r="AJ1101" s="184" t="s">
        <v>1266</v>
      </c>
      <c r="AK1101" s="184" t="s">
        <v>1428</v>
      </c>
      <c r="AL1101" s="184" t="s">
        <v>1431</v>
      </c>
      <c r="AM1101" s="184" t="s">
        <v>1675</v>
      </c>
      <c r="AN1101" s="184" t="s">
        <v>1538</v>
      </c>
      <c r="AO1101" s="184">
        <v>12</v>
      </c>
    </row>
    <row r="1102" spans="36:41" x14ac:dyDescent="0.25">
      <c r="AJ1102" s="184" t="s">
        <v>1267</v>
      </c>
      <c r="AK1102" s="184" t="s">
        <v>1428</v>
      </c>
      <c r="AL1102" s="184" t="s">
        <v>1431</v>
      </c>
      <c r="AM1102" s="184" t="s">
        <v>1675</v>
      </c>
      <c r="AN1102" s="184" t="s">
        <v>1538</v>
      </c>
      <c r="AO1102" s="184">
        <v>12</v>
      </c>
    </row>
    <row r="1103" spans="36:41" x14ac:dyDescent="0.25">
      <c r="AJ1103" s="184" t="s">
        <v>1268</v>
      </c>
      <c r="AK1103" s="184" t="s">
        <v>1428</v>
      </c>
      <c r="AL1103" s="184" t="s">
        <v>1431</v>
      </c>
      <c r="AM1103" s="184" t="s">
        <v>1675</v>
      </c>
      <c r="AN1103" s="184" t="s">
        <v>1538</v>
      </c>
      <c r="AO1103" s="184">
        <v>12</v>
      </c>
    </row>
    <row r="1104" spans="36:41" x14ac:dyDescent="0.25">
      <c r="AJ1104" s="184" t="s">
        <v>1269</v>
      </c>
      <c r="AK1104" s="184" t="s">
        <v>1428</v>
      </c>
      <c r="AL1104" s="184" t="s">
        <v>1431</v>
      </c>
      <c r="AM1104" s="184" t="s">
        <v>1675</v>
      </c>
      <c r="AN1104" s="184" t="s">
        <v>1538</v>
      </c>
      <c r="AO1104" s="184">
        <v>12</v>
      </c>
    </row>
    <row r="1105" spans="36:41" x14ac:dyDescent="0.25">
      <c r="AJ1105" s="184" t="s">
        <v>1270</v>
      </c>
      <c r="AK1105" s="184" t="s">
        <v>1428</v>
      </c>
      <c r="AL1105" s="184" t="s">
        <v>1431</v>
      </c>
      <c r="AM1105" s="184" t="s">
        <v>1675</v>
      </c>
      <c r="AN1105" s="184" t="s">
        <v>1538</v>
      </c>
      <c r="AO1105" s="184">
        <v>12</v>
      </c>
    </row>
    <row r="1106" spans="36:41" x14ac:dyDescent="0.25">
      <c r="AJ1106" s="184" t="s">
        <v>1271</v>
      </c>
      <c r="AK1106" s="184" t="s">
        <v>1428</v>
      </c>
      <c r="AL1106" s="184" t="s">
        <v>1431</v>
      </c>
      <c r="AM1106" s="184" t="s">
        <v>1675</v>
      </c>
      <c r="AN1106" s="184" t="s">
        <v>1538</v>
      </c>
      <c r="AO1106" s="184">
        <v>12</v>
      </c>
    </row>
    <row r="1107" spans="36:41" x14ac:dyDescent="0.25">
      <c r="AJ1107" s="184" t="s">
        <v>1272</v>
      </c>
      <c r="AK1107" s="184" t="s">
        <v>1428</v>
      </c>
      <c r="AL1107" s="184" t="s">
        <v>1431</v>
      </c>
      <c r="AM1107" s="184" t="s">
        <v>1675</v>
      </c>
      <c r="AN1107" s="184" t="s">
        <v>1538</v>
      </c>
      <c r="AO1107" s="184">
        <v>12</v>
      </c>
    </row>
    <row r="1108" spans="36:41" x14ac:dyDescent="0.25">
      <c r="AJ1108" s="184" t="s">
        <v>1273</v>
      </c>
      <c r="AK1108" s="184" t="s">
        <v>152</v>
      </c>
      <c r="AL1108" s="184" t="s">
        <v>1431</v>
      </c>
      <c r="AM1108" s="184" t="s">
        <v>59</v>
      </c>
      <c r="AN1108" s="184" t="s">
        <v>1537</v>
      </c>
      <c r="AO1108" s="184">
        <v>12</v>
      </c>
    </row>
    <row r="1109" spans="36:41" x14ac:dyDescent="0.25">
      <c r="AJ1109" s="184" t="s">
        <v>1274</v>
      </c>
      <c r="AK1109" s="184" t="s">
        <v>152</v>
      </c>
      <c r="AL1109" s="184" t="s">
        <v>1431</v>
      </c>
      <c r="AM1109" s="184" t="s">
        <v>1501</v>
      </c>
      <c r="AN1109" s="184" t="s">
        <v>1537</v>
      </c>
      <c r="AO1109" s="184">
        <v>12</v>
      </c>
    </row>
    <row r="1110" spans="36:41" x14ac:dyDescent="0.25">
      <c r="AJ1110" s="184" t="s">
        <v>1275</v>
      </c>
      <c r="AK1110" s="184" t="s">
        <v>152</v>
      </c>
      <c r="AL1110" s="184" t="s">
        <v>1431</v>
      </c>
      <c r="AM1110" s="184" t="s">
        <v>1449</v>
      </c>
      <c r="AN1110" s="184" t="s">
        <v>1537</v>
      </c>
      <c r="AO1110" s="184">
        <v>12</v>
      </c>
    </row>
    <row r="1111" spans="36:41" x14ac:dyDescent="0.25">
      <c r="AJ1111" s="184" t="s">
        <v>1276</v>
      </c>
      <c r="AK1111" s="184" t="s">
        <v>152</v>
      </c>
      <c r="AL1111" s="184" t="s">
        <v>1431</v>
      </c>
      <c r="AM1111" s="184" t="s">
        <v>1468</v>
      </c>
      <c r="AN1111" s="184" t="s">
        <v>1537</v>
      </c>
      <c r="AO1111" s="184">
        <v>12</v>
      </c>
    </row>
    <row r="1112" spans="36:41" x14ac:dyDescent="0.25">
      <c r="AJ1112" s="184" t="s">
        <v>1277</v>
      </c>
      <c r="AK1112" s="184" t="s">
        <v>152</v>
      </c>
      <c r="AL1112" s="184" t="s">
        <v>1431</v>
      </c>
      <c r="AM1112" s="184" t="s">
        <v>1459</v>
      </c>
      <c r="AN1112" s="184" t="s">
        <v>137</v>
      </c>
      <c r="AO1112" s="184">
        <v>12</v>
      </c>
    </row>
    <row r="1113" spans="36:41" x14ac:dyDescent="0.25">
      <c r="AJ1113" s="184" t="s">
        <v>1278</v>
      </c>
      <c r="AK1113" s="184" t="s">
        <v>1389</v>
      </c>
      <c r="AL1113" s="184" t="s">
        <v>1431</v>
      </c>
      <c r="AM1113" s="184" t="s">
        <v>1435</v>
      </c>
      <c r="AN1113" s="184" t="s">
        <v>1535</v>
      </c>
      <c r="AO1113" s="184">
        <v>12</v>
      </c>
    </row>
    <row r="1114" spans="36:41" x14ac:dyDescent="0.25">
      <c r="AJ1114" s="184" t="s">
        <v>1279</v>
      </c>
      <c r="AK1114" s="184" t="s">
        <v>1395</v>
      </c>
      <c r="AL1114" s="184" t="s">
        <v>1431</v>
      </c>
      <c r="AM1114" s="184" t="s">
        <v>1456</v>
      </c>
      <c r="AN1114" s="184" t="s">
        <v>137</v>
      </c>
      <c r="AO1114" s="184">
        <v>12</v>
      </c>
    </row>
    <row r="1115" spans="36:41" x14ac:dyDescent="0.25">
      <c r="AJ1115" s="184" t="s">
        <v>1280</v>
      </c>
      <c r="AK1115" s="184" t="s">
        <v>1419</v>
      </c>
      <c r="AL1115" s="184" t="s">
        <v>1431</v>
      </c>
      <c r="AM1115" s="184" t="s">
        <v>1445</v>
      </c>
      <c r="AN1115" s="184" t="s">
        <v>137</v>
      </c>
      <c r="AO1115" s="184">
        <v>12</v>
      </c>
    </row>
    <row r="1116" spans="36:41" x14ac:dyDescent="0.25">
      <c r="AJ1116" s="184" t="s">
        <v>1281</v>
      </c>
      <c r="AK1116" s="184" t="s">
        <v>101</v>
      </c>
      <c r="AL1116" s="184" t="s">
        <v>1431</v>
      </c>
      <c r="AM1116" s="184" t="s">
        <v>1445</v>
      </c>
      <c r="AN1116" s="184" t="s">
        <v>137</v>
      </c>
      <c r="AO1116" s="184">
        <v>12</v>
      </c>
    </row>
    <row r="1117" spans="36:41" x14ac:dyDescent="0.25">
      <c r="AJ1117" s="184" t="s">
        <v>1282</v>
      </c>
      <c r="AK1117" s="184" t="s">
        <v>153</v>
      </c>
      <c r="AL1117" s="184" t="s">
        <v>1433</v>
      </c>
      <c r="AM1117" s="184" t="s">
        <v>1439</v>
      </c>
      <c r="AN1117" s="184" t="s">
        <v>1535</v>
      </c>
      <c r="AO1117" s="184">
        <v>24</v>
      </c>
    </row>
    <row r="1118" spans="36:41" x14ac:dyDescent="0.25">
      <c r="AJ1118" s="184" t="s">
        <v>1283</v>
      </c>
      <c r="AK1118" s="184" t="s">
        <v>153</v>
      </c>
      <c r="AL1118" s="184" t="s">
        <v>1433</v>
      </c>
      <c r="AM1118" s="184" t="s">
        <v>1439</v>
      </c>
      <c r="AN1118" s="184" t="s">
        <v>1535</v>
      </c>
      <c r="AO1118" s="184">
        <v>24</v>
      </c>
    </row>
    <row r="1119" spans="36:41" x14ac:dyDescent="0.25">
      <c r="AJ1119" s="184" t="s">
        <v>1284</v>
      </c>
      <c r="AK1119" s="184" t="s">
        <v>153</v>
      </c>
      <c r="AL1119" s="184" t="s">
        <v>1433</v>
      </c>
      <c r="AM1119" s="184" t="s">
        <v>1439</v>
      </c>
      <c r="AN1119" s="184" t="s">
        <v>1535</v>
      </c>
      <c r="AO1119" s="184">
        <v>24</v>
      </c>
    </row>
    <row r="1120" spans="36:41" x14ac:dyDescent="0.25">
      <c r="AJ1120" s="184" t="s">
        <v>1285</v>
      </c>
      <c r="AK1120" s="184" t="s">
        <v>153</v>
      </c>
      <c r="AL1120" s="184" t="s">
        <v>1433</v>
      </c>
      <c r="AM1120" s="184" t="s">
        <v>1439</v>
      </c>
      <c r="AN1120" s="184" t="s">
        <v>1535</v>
      </c>
      <c r="AO1120" s="184">
        <v>24</v>
      </c>
    </row>
    <row r="1121" spans="36:41" x14ac:dyDescent="0.25">
      <c r="AJ1121" s="184" t="s">
        <v>1286</v>
      </c>
      <c r="AK1121" s="184" t="s">
        <v>153</v>
      </c>
      <c r="AL1121" s="184" t="s">
        <v>1433</v>
      </c>
      <c r="AM1121" s="184" t="s">
        <v>1439</v>
      </c>
      <c r="AN1121" s="184" t="s">
        <v>1535</v>
      </c>
      <c r="AO1121" s="184">
        <v>24</v>
      </c>
    </row>
    <row r="1122" spans="36:41" x14ac:dyDescent="0.25">
      <c r="AJ1122" s="184" t="s">
        <v>1287</v>
      </c>
      <c r="AK1122" s="184" t="s">
        <v>153</v>
      </c>
      <c r="AL1122" s="184" t="s">
        <v>1433</v>
      </c>
      <c r="AM1122" s="184" t="s">
        <v>1439</v>
      </c>
      <c r="AN1122" s="184" t="s">
        <v>1535</v>
      </c>
      <c r="AO1122" s="184">
        <v>24</v>
      </c>
    </row>
    <row r="1123" spans="36:41" x14ac:dyDescent="0.25">
      <c r="AJ1123" s="184" t="s">
        <v>1288</v>
      </c>
      <c r="AK1123" s="184" t="s">
        <v>153</v>
      </c>
      <c r="AL1123" s="184" t="s">
        <v>1433</v>
      </c>
      <c r="AM1123" s="184" t="s">
        <v>1439</v>
      </c>
      <c r="AN1123" s="184" t="s">
        <v>1535</v>
      </c>
      <c r="AO1123" s="184">
        <v>24</v>
      </c>
    </row>
    <row r="1124" spans="36:41" x14ac:dyDescent="0.25">
      <c r="AJ1124" s="184" t="s">
        <v>1289</v>
      </c>
      <c r="AK1124" s="184" t="s">
        <v>153</v>
      </c>
      <c r="AL1124" s="184" t="s">
        <v>1433</v>
      </c>
      <c r="AM1124" s="184" t="s">
        <v>1439</v>
      </c>
      <c r="AN1124" s="184" t="s">
        <v>1535</v>
      </c>
      <c r="AO1124" s="184">
        <v>24</v>
      </c>
    </row>
    <row r="1125" spans="36:41" x14ac:dyDescent="0.25">
      <c r="AJ1125" s="184" t="s">
        <v>1290</v>
      </c>
      <c r="AK1125" s="184" t="s">
        <v>153</v>
      </c>
      <c r="AL1125" s="184" t="s">
        <v>1433</v>
      </c>
      <c r="AM1125" s="184" t="s">
        <v>1439</v>
      </c>
      <c r="AN1125" s="184" t="s">
        <v>1535</v>
      </c>
      <c r="AO1125" s="184">
        <v>24</v>
      </c>
    </row>
    <row r="1126" spans="36:41" x14ac:dyDescent="0.25">
      <c r="AJ1126" s="184" t="s">
        <v>1291</v>
      </c>
      <c r="AK1126" s="184" t="s">
        <v>1427</v>
      </c>
      <c r="AL1126" s="184" t="s">
        <v>1433</v>
      </c>
      <c r="AM1126" s="184" t="s">
        <v>1439</v>
      </c>
      <c r="AN1126" s="184" t="s">
        <v>1535</v>
      </c>
      <c r="AO1126" s="184">
        <v>24</v>
      </c>
    </row>
    <row r="1127" spans="36:41" x14ac:dyDescent="0.25">
      <c r="AJ1127" s="184" t="s">
        <v>1292</v>
      </c>
      <c r="AK1127" s="184" t="s">
        <v>1427</v>
      </c>
      <c r="AL1127" s="184" t="s">
        <v>1433</v>
      </c>
      <c r="AM1127" s="184" t="s">
        <v>1439</v>
      </c>
      <c r="AN1127" s="184" t="s">
        <v>1535</v>
      </c>
      <c r="AO1127" s="184">
        <v>24</v>
      </c>
    </row>
    <row r="1128" spans="36:41" x14ac:dyDescent="0.25">
      <c r="AJ1128" s="184" t="s">
        <v>1293</v>
      </c>
      <c r="AK1128" s="184" t="s">
        <v>1425</v>
      </c>
      <c r="AL1128" s="184" t="s">
        <v>1431</v>
      </c>
      <c r="AM1128" s="184" t="s">
        <v>1492</v>
      </c>
      <c r="AN1128" s="184" t="s">
        <v>1538</v>
      </c>
      <c r="AO1128" s="184">
        <v>12</v>
      </c>
    </row>
    <row r="1129" spans="36:41" x14ac:dyDescent="0.25">
      <c r="AJ1129" s="184" t="s">
        <v>1294</v>
      </c>
      <c r="AK1129" s="184" t="s">
        <v>1425</v>
      </c>
      <c r="AL1129" s="184" t="s">
        <v>1431</v>
      </c>
      <c r="AM1129" s="184" t="s">
        <v>1492</v>
      </c>
      <c r="AN1129" s="184" t="s">
        <v>1538</v>
      </c>
      <c r="AO1129" s="184">
        <v>12</v>
      </c>
    </row>
    <row r="1130" spans="36:41" x14ac:dyDescent="0.25">
      <c r="AJ1130" s="184" t="s">
        <v>1295</v>
      </c>
      <c r="AK1130" s="184" t="s">
        <v>1425</v>
      </c>
      <c r="AL1130" s="184" t="s">
        <v>1431</v>
      </c>
      <c r="AM1130" s="184" t="s">
        <v>1492</v>
      </c>
      <c r="AN1130" s="184" t="s">
        <v>1538</v>
      </c>
      <c r="AO1130" s="184">
        <v>12</v>
      </c>
    </row>
    <row r="1131" spans="36:41" x14ac:dyDescent="0.25">
      <c r="AJ1131" s="184" t="s">
        <v>1296</v>
      </c>
      <c r="AK1131" s="184" t="s">
        <v>1425</v>
      </c>
      <c r="AL1131" s="184" t="s">
        <v>1431</v>
      </c>
      <c r="AM1131" s="184" t="s">
        <v>1492</v>
      </c>
      <c r="AN1131" s="184" t="s">
        <v>1538</v>
      </c>
      <c r="AO1131" s="184">
        <v>12</v>
      </c>
    </row>
    <row r="1132" spans="36:41" x14ac:dyDescent="0.25">
      <c r="AJ1132" s="184" t="s">
        <v>1297</v>
      </c>
      <c r="AK1132" s="184" t="s">
        <v>1425</v>
      </c>
      <c r="AL1132" s="184" t="s">
        <v>1431</v>
      </c>
      <c r="AM1132" s="184" t="s">
        <v>1492</v>
      </c>
      <c r="AN1132" s="184" t="s">
        <v>1538</v>
      </c>
      <c r="AO1132" s="184">
        <v>12</v>
      </c>
    </row>
    <row r="1133" spans="36:41" x14ac:dyDescent="0.25">
      <c r="AJ1133" s="184" t="s">
        <v>1298</v>
      </c>
      <c r="AK1133" s="184" t="s">
        <v>1427</v>
      </c>
      <c r="AL1133" s="184" t="s">
        <v>1431</v>
      </c>
      <c r="AM1133" s="184" t="s">
        <v>1439</v>
      </c>
      <c r="AN1133" s="184" t="s">
        <v>1535</v>
      </c>
      <c r="AO1133" s="184">
        <v>12</v>
      </c>
    </row>
    <row r="1134" spans="36:41" x14ac:dyDescent="0.25">
      <c r="AJ1134" s="184" t="s">
        <v>1299</v>
      </c>
      <c r="AK1134" s="184" t="s">
        <v>1427</v>
      </c>
      <c r="AL1134" s="184" t="s">
        <v>1431</v>
      </c>
      <c r="AM1134" s="184" t="s">
        <v>1439</v>
      </c>
      <c r="AN1134" s="184" t="s">
        <v>1535</v>
      </c>
      <c r="AO1134" s="184">
        <v>12</v>
      </c>
    </row>
    <row r="1135" spans="36:41" x14ac:dyDescent="0.25">
      <c r="AJ1135" s="184" t="s">
        <v>1300</v>
      </c>
      <c r="AK1135" s="184" t="s">
        <v>1427</v>
      </c>
      <c r="AL1135" s="184" t="s">
        <v>1431</v>
      </c>
      <c r="AM1135" s="184" t="s">
        <v>1439</v>
      </c>
      <c r="AN1135" s="184" t="s">
        <v>1535</v>
      </c>
      <c r="AO1135" s="184">
        <v>12</v>
      </c>
    </row>
    <row r="1136" spans="36:41" x14ac:dyDescent="0.25">
      <c r="AJ1136" s="184" t="s">
        <v>1301</v>
      </c>
      <c r="AK1136" s="184" t="s">
        <v>1427</v>
      </c>
      <c r="AL1136" s="184" t="s">
        <v>1431</v>
      </c>
      <c r="AM1136" s="184" t="s">
        <v>1439</v>
      </c>
      <c r="AN1136" s="184" t="s">
        <v>1535</v>
      </c>
      <c r="AO1136" s="184">
        <v>12</v>
      </c>
    </row>
    <row r="1137" spans="36:41" x14ac:dyDescent="0.25">
      <c r="AJ1137" s="184" t="s">
        <v>1302</v>
      </c>
      <c r="AK1137" s="184" t="s">
        <v>153</v>
      </c>
      <c r="AL1137" s="184" t="s">
        <v>1431</v>
      </c>
      <c r="AM1137" s="184" t="s">
        <v>1439</v>
      </c>
      <c r="AN1137" s="184" t="s">
        <v>1535</v>
      </c>
      <c r="AO1137" s="184">
        <v>12</v>
      </c>
    </row>
    <row r="1138" spans="36:41" x14ac:dyDescent="0.25">
      <c r="AJ1138" s="184" t="s">
        <v>1303</v>
      </c>
      <c r="AK1138" s="184" t="s">
        <v>153</v>
      </c>
      <c r="AL1138" s="184" t="s">
        <v>1431</v>
      </c>
      <c r="AM1138" s="184" t="s">
        <v>1439</v>
      </c>
      <c r="AN1138" s="184" t="s">
        <v>1535</v>
      </c>
      <c r="AO1138" s="184">
        <v>12</v>
      </c>
    </row>
    <row r="1139" spans="36:41" x14ac:dyDescent="0.25">
      <c r="AJ1139" s="184" t="s">
        <v>1304</v>
      </c>
      <c r="AK1139" s="184" t="s">
        <v>153</v>
      </c>
      <c r="AL1139" s="184" t="s">
        <v>1431</v>
      </c>
      <c r="AM1139" s="184" t="s">
        <v>1439</v>
      </c>
      <c r="AN1139" s="184" t="s">
        <v>1535</v>
      </c>
      <c r="AO1139" s="184">
        <v>12</v>
      </c>
    </row>
    <row r="1140" spans="36:41" x14ac:dyDescent="0.25">
      <c r="AJ1140" s="184" t="s">
        <v>1305</v>
      </c>
      <c r="AK1140" s="184" t="s">
        <v>153</v>
      </c>
      <c r="AL1140" s="184" t="s">
        <v>1431</v>
      </c>
      <c r="AM1140" s="184" t="s">
        <v>1439</v>
      </c>
      <c r="AN1140" s="184" t="s">
        <v>1535</v>
      </c>
      <c r="AO1140" s="184">
        <v>12</v>
      </c>
    </row>
    <row r="1141" spans="36:41" x14ac:dyDescent="0.25">
      <c r="AJ1141" s="184" t="s">
        <v>1306</v>
      </c>
      <c r="AK1141" s="184" t="s">
        <v>153</v>
      </c>
      <c r="AL1141" s="184" t="s">
        <v>1431</v>
      </c>
      <c r="AM1141" s="184" t="s">
        <v>1439</v>
      </c>
      <c r="AN1141" s="184" t="s">
        <v>1535</v>
      </c>
      <c r="AO1141" s="184">
        <v>12</v>
      </c>
    </row>
    <row r="1142" spans="36:41" x14ac:dyDescent="0.25">
      <c r="AJ1142" s="184" t="s">
        <v>1307</v>
      </c>
      <c r="AK1142" s="184" t="s">
        <v>153</v>
      </c>
      <c r="AL1142" s="184" t="s">
        <v>1431</v>
      </c>
      <c r="AM1142" s="184" t="s">
        <v>1439</v>
      </c>
      <c r="AN1142" s="184" t="s">
        <v>1535</v>
      </c>
      <c r="AO1142" s="184">
        <v>12</v>
      </c>
    </row>
    <row r="1143" spans="36:41" x14ac:dyDescent="0.25">
      <c r="AJ1143" s="184" t="s">
        <v>1308</v>
      </c>
      <c r="AK1143" s="184" t="s">
        <v>153</v>
      </c>
      <c r="AL1143" s="184" t="s">
        <v>1431</v>
      </c>
      <c r="AM1143" s="184" t="s">
        <v>1439</v>
      </c>
      <c r="AN1143" s="184" t="s">
        <v>1535</v>
      </c>
      <c r="AO1143" s="184">
        <v>12</v>
      </c>
    </row>
    <row r="1144" spans="36:41" x14ac:dyDescent="0.25">
      <c r="AJ1144" s="184" t="s">
        <v>1309</v>
      </c>
      <c r="AK1144" s="184" t="s">
        <v>153</v>
      </c>
      <c r="AL1144" s="184" t="s">
        <v>1431</v>
      </c>
      <c r="AM1144" s="184" t="s">
        <v>1439</v>
      </c>
      <c r="AN1144" s="184" t="s">
        <v>1535</v>
      </c>
      <c r="AO1144" s="184">
        <v>12</v>
      </c>
    </row>
    <row r="1145" spans="36:41" x14ac:dyDescent="0.25">
      <c r="AJ1145" s="184" t="s">
        <v>1310</v>
      </c>
      <c r="AK1145" s="184" t="s">
        <v>1389</v>
      </c>
      <c r="AL1145" s="184" t="s">
        <v>1434</v>
      </c>
      <c r="AM1145" s="184" t="s">
        <v>1438</v>
      </c>
      <c r="AN1145" s="184" t="s">
        <v>1535</v>
      </c>
      <c r="AO1145" s="184">
        <v>24</v>
      </c>
    </row>
    <row r="1146" spans="36:41" x14ac:dyDescent="0.25">
      <c r="AJ1146" s="184" t="s">
        <v>1311</v>
      </c>
      <c r="AK1146" s="184" t="s">
        <v>1389</v>
      </c>
      <c r="AL1146" s="184" t="s">
        <v>1434</v>
      </c>
      <c r="AM1146" s="184" t="s">
        <v>1438</v>
      </c>
      <c r="AN1146" s="184" t="s">
        <v>1535</v>
      </c>
      <c r="AO1146" s="184">
        <v>24</v>
      </c>
    </row>
    <row r="1147" spans="36:41" x14ac:dyDescent="0.25">
      <c r="AJ1147" s="184" t="s">
        <v>1312</v>
      </c>
      <c r="AK1147" s="184" t="s">
        <v>1389</v>
      </c>
      <c r="AL1147" s="184" t="s">
        <v>1434</v>
      </c>
      <c r="AM1147" s="184" t="s">
        <v>1438</v>
      </c>
      <c r="AN1147" s="184" t="s">
        <v>1535</v>
      </c>
      <c r="AO1147" s="184">
        <v>24</v>
      </c>
    </row>
    <row r="1148" spans="36:41" x14ac:dyDescent="0.25">
      <c r="AJ1148" s="184" t="s">
        <v>1313</v>
      </c>
      <c r="AK1148" s="184" t="s">
        <v>1389</v>
      </c>
      <c r="AL1148" s="184" t="s">
        <v>1434</v>
      </c>
      <c r="AM1148" s="184" t="s">
        <v>1438</v>
      </c>
      <c r="AN1148" s="184" t="s">
        <v>1535</v>
      </c>
      <c r="AO1148" s="184">
        <v>24</v>
      </c>
    </row>
    <row r="1149" spans="36:41" x14ac:dyDescent="0.25">
      <c r="AJ1149" s="184" t="s">
        <v>1314</v>
      </c>
      <c r="AK1149" s="184" t="s">
        <v>1389</v>
      </c>
      <c r="AL1149" s="184" t="s">
        <v>1434</v>
      </c>
      <c r="AM1149" s="184" t="s">
        <v>1438</v>
      </c>
      <c r="AN1149" s="184" t="s">
        <v>1535</v>
      </c>
      <c r="AO1149" s="184">
        <v>24</v>
      </c>
    </row>
    <row r="1150" spans="36:41" x14ac:dyDescent="0.25">
      <c r="AJ1150" s="184" t="s">
        <v>1315</v>
      </c>
      <c r="AK1150" s="184" t="s">
        <v>153</v>
      </c>
      <c r="AL1150" s="184" t="s">
        <v>1434</v>
      </c>
      <c r="AM1150" s="184" t="s">
        <v>1435</v>
      </c>
      <c r="AN1150" s="184" t="s">
        <v>1535</v>
      </c>
      <c r="AO1150" s="184">
        <v>24</v>
      </c>
    </row>
    <row r="1151" spans="36:41" x14ac:dyDescent="0.25">
      <c r="AJ1151" s="184" t="s">
        <v>1316</v>
      </c>
      <c r="AK1151" s="184" t="s">
        <v>153</v>
      </c>
      <c r="AL1151" s="184" t="s">
        <v>1434</v>
      </c>
      <c r="AM1151" s="184" t="s">
        <v>1437</v>
      </c>
      <c r="AN1151" s="184" t="s">
        <v>1535</v>
      </c>
      <c r="AO1151" s="184">
        <v>12</v>
      </c>
    </row>
    <row r="1152" spans="36:41" x14ac:dyDescent="0.25">
      <c r="AJ1152" s="184" t="s">
        <v>1317</v>
      </c>
      <c r="AK1152" s="184" t="s">
        <v>153</v>
      </c>
      <c r="AL1152" s="184" t="s">
        <v>1434</v>
      </c>
      <c r="AM1152" s="184" t="s">
        <v>1437</v>
      </c>
      <c r="AN1152" s="184" t="s">
        <v>1535</v>
      </c>
      <c r="AO1152" s="184">
        <v>12</v>
      </c>
    </row>
    <row r="1153" spans="36:41" x14ac:dyDescent="0.25">
      <c r="AJ1153" s="184" t="s">
        <v>1318</v>
      </c>
      <c r="AK1153" s="184" t="s">
        <v>1420</v>
      </c>
      <c r="AL1153" s="184" t="s">
        <v>1431</v>
      </c>
      <c r="AM1153" s="184" t="s">
        <v>1493</v>
      </c>
      <c r="AN1153" s="184" t="s">
        <v>1538</v>
      </c>
      <c r="AO1153" s="184">
        <v>6</v>
      </c>
    </row>
    <row r="1154" spans="36:41" x14ac:dyDescent="0.25">
      <c r="AJ1154" s="184" t="s">
        <v>1319</v>
      </c>
      <c r="AK1154" s="184" t="s">
        <v>1420</v>
      </c>
      <c r="AL1154" s="184" t="s">
        <v>1431</v>
      </c>
      <c r="AM1154" s="184" t="s">
        <v>1483</v>
      </c>
      <c r="AN1154" s="184" t="s">
        <v>1538</v>
      </c>
      <c r="AO1154" s="184">
        <v>6</v>
      </c>
    </row>
    <row r="1155" spans="36:41" x14ac:dyDescent="0.25">
      <c r="AJ1155" s="184" t="s">
        <v>1320</v>
      </c>
      <c r="AK1155" s="184" t="s">
        <v>1420</v>
      </c>
      <c r="AL1155" s="184" t="s">
        <v>1431</v>
      </c>
      <c r="AM1155" s="184" t="s">
        <v>1492</v>
      </c>
      <c r="AN1155" s="184" t="s">
        <v>1538</v>
      </c>
      <c r="AO1155" s="184">
        <v>6</v>
      </c>
    </row>
    <row r="1156" spans="36:41" x14ac:dyDescent="0.25">
      <c r="AJ1156" s="184" t="s">
        <v>1321</v>
      </c>
      <c r="AK1156" s="184" t="s">
        <v>1420</v>
      </c>
      <c r="AL1156" s="184" t="s">
        <v>1431</v>
      </c>
      <c r="AM1156" s="184" t="s">
        <v>1487</v>
      </c>
      <c r="AN1156" s="184" t="s">
        <v>1538</v>
      </c>
      <c r="AO1156" s="184">
        <v>6</v>
      </c>
    </row>
    <row r="1157" spans="36:41" x14ac:dyDescent="0.25">
      <c r="AJ1157" s="184" t="s">
        <v>1322</v>
      </c>
      <c r="AK1157" s="184" t="s">
        <v>1420</v>
      </c>
      <c r="AL1157" s="184" t="s">
        <v>1431</v>
      </c>
      <c r="AM1157" s="184" t="s">
        <v>1514</v>
      </c>
      <c r="AN1157" s="184" t="s">
        <v>1538</v>
      </c>
      <c r="AO1157" s="184">
        <v>6</v>
      </c>
    </row>
    <row r="1158" spans="36:41" x14ac:dyDescent="0.25">
      <c r="AJ1158" s="184" t="s">
        <v>1323</v>
      </c>
      <c r="AK1158" s="184" t="s">
        <v>1420</v>
      </c>
      <c r="AL1158" s="184" t="s">
        <v>1431</v>
      </c>
      <c r="AM1158" s="184" t="s">
        <v>1515</v>
      </c>
      <c r="AN1158" s="184" t="s">
        <v>1538</v>
      </c>
      <c r="AO1158" s="184">
        <v>6</v>
      </c>
    </row>
    <row r="1159" spans="36:41" x14ac:dyDescent="0.25">
      <c r="AJ1159" s="184" t="s">
        <v>1324</v>
      </c>
      <c r="AK1159" s="184" t="s">
        <v>1420</v>
      </c>
      <c r="AL1159" s="184" t="s">
        <v>1431</v>
      </c>
      <c r="AM1159" s="184" t="s">
        <v>1516</v>
      </c>
      <c r="AN1159" s="184" t="s">
        <v>1538</v>
      </c>
      <c r="AO1159" s="184">
        <v>6</v>
      </c>
    </row>
    <row r="1160" spans="36:41" x14ac:dyDescent="0.25">
      <c r="AJ1160" s="184" t="s">
        <v>1325</v>
      </c>
      <c r="AK1160" s="184" t="s">
        <v>1420</v>
      </c>
      <c r="AL1160" s="184" t="s">
        <v>1431</v>
      </c>
      <c r="AM1160" s="184" t="s">
        <v>1517</v>
      </c>
      <c r="AN1160" s="184" t="s">
        <v>1538</v>
      </c>
      <c r="AO1160" s="184">
        <v>6</v>
      </c>
    </row>
    <row r="1161" spans="36:41" x14ac:dyDescent="0.25">
      <c r="AJ1161" s="184" t="s">
        <v>1326</v>
      </c>
      <c r="AK1161" s="184" t="s">
        <v>1420</v>
      </c>
      <c r="AL1161" s="184" t="s">
        <v>1431</v>
      </c>
      <c r="AM1161" s="184" t="s">
        <v>1518</v>
      </c>
      <c r="AN1161" s="184" t="s">
        <v>1538</v>
      </c>
      <c r="AO1161" s="184">
        <v>6</v>
      </c>
    </row>
    <row r="1162" spans="36:41" x14ac:dyDescent="0.25">
      <c r="AJ1162" s="184" t="s">
        <v>1327</v>
      </c>
      <c r="AK1162" s="184" t="s">
        <v>1420</v>
      </c>
      <c r="AL1162" s="184" t="s">
        <v>1431</v>
      </c>
      <c r="AM1162" s="184" t="s">
        <v>1519</v>
      </c>
      <c r="AN1162" s="184" t="s">
        <v>1538</v>
      </c>
      <c r="AO1162" s="184">
        <v>6</v>
      </c>
    </row>
    <row r="1163" spans="36:41" x14ac:dyDescent="0.25">
      <c r="AJ1163" s="184" t="s">
        <v>1328</v>
      </c>
      <c r="AK1163" s="184" t="s">
        <v>1420</v>
      </c>
      <c r="AL1163" s="184" t="s">
        <v>1431</v>
      </c>
      <c r="AM1163" s="184" t="s">
        <v>1520</v>
      </c>
      <c r="AN1163" s="184" t="s">
        <v>1538</v>
      </c>
      <c r="AO1163" s="184">
        <v>6</v>
      </c>
    </row>
    <row r="1164" spans="36:41" x14ac:dyDescent="0.25">
      <c r="AJ1164" s="184" t="s">
        <v>1329</v>
      </c>
      <c r="AK1164" s="184" t="s">
        <v>1420</v>
      </c>
      <c r="AL1164" s="184" t="s">
        <v>1431</v>
      </c>
      <c r="AM1164" s="184" t="s">
        <v>1521</v>
      </c>
      <c r="AN1164" s="184" t="s">
        <v>1538</v>
      </c>
      <c r="AO1164" s="184">
        <v>6</v>
      </c>
    </row>
    <row r="1165" spans="36:41" x14ac:dyDescent="0.25">
      <c r="AJ1165" s="184" t="s">
        <v>1330</v>
      </c>
      <c r="AK1165" s="184" t="s">
        <v>1420</v>
      </c>
      <c r="AL1165" s="184" t="s">
        <v>1431</v>
      </c>
      <c r="AM1165" s="184" t="s">
        <v>1522</v>
      </c>
      <c r="AN1165" s="184" t="s">
        <v>1538</v>
      </c>
      <c r="AO1165" s="184">
        <v>6</v>
      </c>
    </row>
    <row r="1166" spans="36:41" x14ac:dyDescent="0.25">
      <c r="AJ1166" s="184" t="s">
        <v>1331</v>
      </c>
      <c r="AK1166" s="184" t="s">
        <v>1420</v>
      </c>
      <c r="AL1166" s="184" t="s">
        <v>1431</v>
      </c>
      <c r="AM1166" s="184" t="s">
        <v>1523</v>
      </c>
      <c r="AN1166" s="184" t="s">
        <v>1538</v>
      </c>
      <c r="AO1166" s="184">
        <v>6</v>
      </c>
    </row>
    <row r="1167" spans="36:41" x14ac:dyDescent="0.25">
      <c r="AJ1167" s="184" t="s">
        <v>1332</v>
      </c>
      <c r="AK1167" s="184" t="s">
        <v>1420</v>
      </c>
      <c r="AL1167" s="184" t="s">
        <v>1431</v>
      </c>
      <c r="AM1167" s="184" t="s">
        <v>1524</v>
      </c>
      <c r="AN1167" s="184" t="s">
        <v>1538</v>
      </c>
      <c r="AO1167" s="184">
        <v>6</v>
      </c>
    </row>
    <row r="1168" spans="36:41" x14ac:dyDescent="0.25">
      <c r="AJ1168" s="184" t="s">
        <v>1333</v>
      </c>
      <c r="AK1168" s="184" t="s">
        <v>1420</v>
      </c>
      <c r="AL1168" s="184" t="s">
        <v>1431</v>
      </c>
      <c r="AM1168" s="184" t="s">
        <v>1525</v>
      </c>
      <c r="AN1168" s="184" t="s">
        <v>1538</v>
      </c>
      <c r="AO1168" s="184">
        <v>6</v>
      </c>
    </row>
    <row r="1169" spans="36:41" x14ac:dyDescent="0.25">
      <c r="AJ1169" s="184" t="s">
        <v>1334</v>
      </c>
      <c r="AK1169" s="184" t="s">
        <v>1420</v>
      </c>
      <c r="AL1169" s="184" t="s">
        <v>1431</v>
      </c>
      <c r="AM1169" s="184" t="s">
        <v>1526</v>
      </c>
      <c r="AN1169" s="184" t="s">
        <v>1538</v>
      </c>
      <c r="AO1169" s="184">
        <v>6</v>
      </c>
    </row>
    <row r="1170" spans="36:41" x14ac:dyDescent="0.25">
      <c r="AJ1170" s="184" t="s">
        <v>1335</v>
      </c>
      <c r="AK1170" s="184" t="s">
        <v>1420</v>
      </c>
      <c r="AL1170" s="184" t="s">
        <v>1431</v>
      </c>
      <c r="AM1170" s="184" t="s">
        <v>1527</v>
      </c>
      <c r="AN1170" s="184" t="s">
        <v>1538</v>
      </c>
      <c r="AO1170" s="184">
        <v>6</v>
      </c>
    </row>
    <row r="1171" spans="36:41" x14ac:dyDescent="0.25">
      <c r="AJ1171" s="184" t="s">
        <v>1336</v>
      </c>
      <c r="AK1171" s="184" t="s">
        <v>1420</v>
      </c>
      <c r="AL1171" s="184" t="s">
        <v>1431</v>
      </c>
      <c r="AM1171" s="184" t="s">
        <v>1528</v>
      </c>
      <c r="AN1171" s="184" t="s">
        <v>1538</v>
      </c>
      <c r="AO1171" s="184">
        <v>6</v>
      </c>
    </row>
    <row r="1172" spans="36:41" x14ac:dyDescent="0.25">
      <c r="AJ1172" s="184" t="s">
        <v>1337</v>
      </c>
      <c r="AK1172" s="184" t="s">
        <v>1420</v>
      </c>
      <c r="AL1172" s="184" t="s">
        <v>1431</v>
      </c>
      <c r="AM1172" s="184" t="s">
        <v>1529</v>
      </c>
      <c r="AN1172" s="184" t="s">
        <v>1538</v>
      </c>
      <c r="AO1172" s="184">
        <v>6</v>
      </c>
    </row>
    <row r="1173" spans="36:41" x14ac:dyDescent="0.25">
      <c r="AJ1173" s="184" t="s">
        <v>1338</v>
      </c>
      <c r="AK1173" s="184" t="s">
        <v>1420</v>
      </c>
      <c r="AL1173" s="184" t="s">
        <v>1431</v>
      </c>
      <c r="AM1173" s="184" t="s">
        <v>1530</v>
      </c>
      <c r="AN1173" s="184" t="s">
        <v>1538</v>
      </c>
      <c r="AO1173" s="184">
        <v>6</v>
      </c>
    </row>
    <row r="1174" spans="36:41" x14ac:dyDescent="0.25">
      <c r="AJ1174" s="184" t="s">
        <v>1339</v>
      </c>
      <c r="AK1174" s="184" t="s">
        <v>1420</v>
      </c>
      <c r="AL1174" s="184" t="s">
        <v>1431</v>
      </c>
      <c r="AM1174" s="184" t="s">
        <v>1531</v>
      </c>
      <c r="AN1174" s="184" t="s">
        <v>1538</v>
      </c>
      <c r="AO1174" s="184">
        <v>6</v>
      </c>
    </row>
    <row r="1175" spans="36:41" x14ac:dyDescent="0.25">
      <c r="AJ1175" s="184" t="s">
        <v>1340</v>
      </c>
      <c r="AK1175" s="184" t="s">
        <v>1420</v>
      </c>
      <c r="AL1175" s="184" t="s">
        <v>1431</v>
      </c>
      <c r="AM1175" s="184" t="s">
        <v>1532</v>
      </c>
      <c r="AN1175" s="184" t="s">
        <v>1538</v>
      </c>
      <c r="AO1175" s="184">
        <v>6</v>
      </c>
    </row>
    <row r="1176" spans="36:41" x14ac:dyDescent="0.25">
      <c r="AJ1176" s="184" t="s">
        <v>1341</v>
      </c>
      <c r="AK1176" s="184" t="s">
        <v>1420</v>
      </c>
      <c r="AL1176" s="184" t="s">
        <v>1431</v>
      </c>
      <c r="AM1176" s="184" t="s">
        <v>1462</v>
      </c>
      <c r="AN1176" s="184" t="s">
        <v>1538</v>
      </c>
      <c r="AO1176" s="184">
        <v>6</v>
      </c>
    </row>
    <row r="1177" spans="36:41" x14ac:dyDescent="0.25">
      <c r="AJ1177" s="184" t="s">
        <v>1342</v>
      </c>
      <c r="AK1177" s="184" t="s">
        <v>1420</v>
      </c>
      <c r="AL1177" s="184" t="s">
        <v>1431</v>
      </c>
      <c r="AM1177" s="184" t="s">
        <v>1533</v>
      </c>
      <c r="AN1177" s="184" t="s">
        <v>1538</v>
      </c>
      <c r="AO1177" s="184">
        <v>6</v>
      </c>
    </row>
    <row r="1178" spans="36:41" x14ac:dyDescent="0.25">
      <c r="AJ1178" s="184" t="s">
        <v>1343</v>
      </c>
      <c r="AK1178" s="184" t="s">
        <v>148</v>
      </c>
      <c r="AL1178" s="184" t="s">
        <v>1431</v>
      </c>
      <c r="AM1178" s="184" t="s">
        <v>59</v>
      </c>
      <c r="AN1178" s="184" t="s">
        <v>1540</v>
      </c>
      <c r="AO1178" s="184">
        <v>12</v>
      </c>
    </row>
    <row r="1179" spans="36:41" x14ac:dyDescent="0.25">
      <c r="AJ1179" s="184" t="s">
        <v>1344</v>
      </c>
      <c r="AK1179" s="184" t="s">
        <v>96</v>
      </c>
      <c r="AL1179" s="184" t="s">
        <v>1433</v>
      </c>
      <c r="AM1179" s="184" t="s">
        <v>1438</v>
      </c>
      <c r="AN1179" s="184" t="s">
        <v>1535</v>
      </c>
      <c r="AO1179" s="184">
        <v>24</v>
      </c>
    </row>
    <row r="1180" spans="36:41" x14ac:dyDescent="0.25">
      <c r="AJ1180" s="184" t="s">
        <v>1345</v>
      </c>
      <c r="AK1180" s="184" t="s">
        <v>96</v>
      </c>
      <c r="AL1180" s="184" t="s">
        <v>1433</v>
      </c>
      <c r="AM1180" s="184" t="s">
        <v>1438</v>
      </c>
      <c r="AN1180" s="184" t="s">
        <v>1535</v>
      </c>
      <c r="AO1180" s="184">
        <v>24</v>
      </c>
    </row>
    <row r="1181" spans="36:41" x14ac:dyDescent="0.25">
      <c r="AJ1181" s="184" t="s">
        <v>1346</v>
      </c>
      <c r="AK1181" s="184" t="s">
        <v>143</v>
      </c>
      <c r="AL1181" s="184" t="s">
        <v>1431</v>
      </c>
      <c r="AM1181" s="184" t="s">
        <v>1455</v>
      </c>
      <c r="AN1181" s="184" t="s">
        <v>137</v>
      </c>
      <c r="AO1181" s="184">
        <v>6</v>
      </c>
    </row>
    <row r="1182" spans="36:41" x14ac:dyDescent="0.25">
      <c r="AJ1182" s="184" t="s">
        <v>1347</v>
      </c>
      <c r="AK1182" s="184" t="s">
        <v>1389</v>
      </c>
      <c r="AL1182" s="184" t="s">
        <v>1433</v>
      </c>
      <c r="AM1182" s="184" t="s">
        <v>1504</v>
      </c>
      <c r="AN1182" s="184" t="s">
        <v>1535</v>
      </c>
      <c r="AO1182" s="184">
        <v>24</v>
      </c>
    </row>
    <row r="1183" spans="36:41" x14ac:dyDescent="0.25">
      <c r="AJ1183" s="184" t="s">
        <v>1348</v>
      </c>
      <c r="AK1183" s="184" t="s">
        <v>1389</v>
      </c>
      <c r="AL1183" s="184" t="s">
        <v>1433</v>
      </c>
      <c r="AM1183" s="184" t="s">
        <v>1504</v>
      </c>
      <c r="AN1183" s="184" t="s">
        <v>1535</v>
      </c>
      <c r="AO1183" s="184">
        <v>24</v>
      </c>
    </row>
    <row r="1184" spans="36:41" x14ac:dyDescent="0.25">
      <c r="AJ1184" s="184" t="s">
        <v>1349</v>
      </c>
      <c r="AK1184" s="184" t="s">
        <v>153</v>
      </c>
      <c r="AL1184" s="184" t="s">
        <v>1431</v>
      </c>
      <c r="AM1184" s="184" t="s">
        <v>1504</v>
      </c>
      <c r="AN1184" s="184" t="s">
        <v>1535</v>
      </c>
      <c r="AO1184" s="184">
        <v>12</v>
      </c>
    </row>
    <row r="1185" spans="36:41" x14ac:dyDescent="0.25">
      <c r="AJ1185" s="184" t="s">
        <v>1350</v>
      </c>
      <c r="AK1185" s="184" t="s">
        <v>154</v>
      </c>
      <c r="AL1185" s="184" t="s">
        <v>1431</v>
      </c>
      <c r="AM1185" s="184" t="s">
        <v>1504</v>
      </c>
      <c r="AN1185" s="184" t="s">
        <v>1535</v>
      </c>
      <c r="AO1185" s="184">
        <v>12</v>
      </c>
    </row>
    <row r="1186" spans="36:41" x14ac:dyDescent="0.25">
      <c r="AJ1186" s="184" t="s">
        <v>1351</v>
      </c>
      <c r="AK1186" s="184" t="s">
        <v>153</v>
      </c>
      <c r="AL1186" s="184" t="s">
        <v>1431</v>
      </c>
      <c r="AM1186" s="184" t="s">
        <v>1504</v>
      </c>
      <c r="AN1186" s="184" t="s">
        <v>1535</v>
      </c>
      <c r="AO1186" s="184">
        <v>12</v>
      </c>
    </row>
    <row r="1187" spans="36:41" x14ac:dyDescent="0.25">
      <c r="AJ1187" s="184" t="s">
        <v>1352</v>
      </c>
      <c r="AK1187" s="184" t="s">
        <v>154</v>
      </c>
      <c r="AL1187" s="184" t="s">
        <v>1431</v>
      </c>
      <c r="AM1187" s="184" t="s">
        <v>1504</v>
      </c>
      <c r="AN1187" s="184" t="s">
        <v>1535</v>
      </c>
      <c r="AO1187" s="184">
        <v>12</v>
      </c>
    </row>
    <row r="1188" spans="36:41" x14ac:dyDescent="0.25">
      <c r="AJ1188" s="184" t="s">
        <v>1353</v>
      </c>
      <c r="AK1188" s="184" t="s">
        <v>1428</v>
      </c>
      <c r="AL1188" s="184" t="s">
        <v>1431</v>
      </c>
      <c r="AM1188" s="184" t="s">
        <v>1493</v>
      </c>
      <c r="AN1188" s="184" t="s">
        <v>1538</v>
      </c>
      <c r="AO1188" s="184">
        <v>12</v>
      </c>
    </row>
    <row r="1189" spans="36:41" x14ac:dyDescent="0.25">
      <c r="AJ1189" s="184" t="s">
        <v>1354</v>
      </c>
      <c r="AK1189" s="184" t="s">
        <v>1428</v>
      </c>
      <c r="AL1189" s="184" t="s">
        <v>1431</v>
      </c>
      <c r="AM1189" s="184" t="s">
        <v>1493</v>
      </c>
      <c r="AN1189" s="184" t="s">
        <v>1538</v>
      </c>
      <c r="AO1189" s="184">
        <v>12</v>
      </c>
    </row>
    <row r="1190" spans="36:41" x14ac:dyDescent="0.25">
      <c r="AJ1190" s="184" t="s">
        <v>1355</v>
      </c>
      <c r="AK1190" s="184" t="s">
        <v>1428</v>
      </c>
      <c r="AL1190" s="184" t="s">
        <v>1431</v>
      </c>
      <c r="AM1190" s="184" t="s">
        <v>1493</v>
      </c>
      <c r="AN1190" s="184" t="s">
        <v>1538</v>
      </c>
      <c r="AO1190" s="184">
        <v>12</v>
      </c>
    </row>
    <row r="1191" spans="36:41" x14ac:dyDescent="0.25">
      <c r="AJ1191" s="184" t="s">
        <v>1356</v>
      </c>
      <c r="AK1191" s="184" t="s">
        <v>1428</v>
      </c>
      <c r="AL1191" s="184" t="s">
        <v>1431</v>
      </c>
      <c r="AM1191" s="184" t="s">
        <v>1493</v>
      </c>
      <c r="AN1191" s="184" t="s">
        <v>1538</v>
      </c>
      <c r="AO1191" s="184">
        <v>12</v>
      </c>
    </row>
    <row r="1192" spans="36:41" x14ac:dyDescent="0.25">
      <c r="AJ1192" s="184" t="s">
        <v>1357</v>
      </c>
      <c r="AK1192" s="184" t="s">
        <v>1428</v>
      </c>
      <c r="AL1192" s="184" t="s">
        <v>1431</v>
      </c>
      <c r="AM1192" s="184" t="s">
        <v>1486</v>
      </c>
      <c r="AN1192" s="184" t="s">
        <v>1538</v>
      </c>
      <c r="AO1192" s="184">
        <v>12</v>
      </c>
    </row>
    <row r="1193" spans="36:41" x14ac:dyDescent="0.25">
      <c r="AJ1193" s="184" t="s">
        <v>1358</v>
      </c>
      <c r="AK1193" s="184" t="s">
        <v>1428</v>
      </c>
      <c r="AL1193" s="184" t="s">
        <v>1431</v>
      </c>
      <c r="AM1193" s="184" t="s">
        <v>1486</v>
      </c>
      <c r="AN1193" s="184" t="s">
        <v>1538</v>
      </c>
      <c r="AO1193" s="184">
        <v>12</v>
      </c>
    </row>
    <row r="1194" spans="36:41" x14ac:dyDescent="0.25">
      <c r="AJ1194" s="184" t="s">
        <v>1359</v>
      </c>
      <c r="AK1194" s="184" t="s">
        <v>1428</v>
      </c>
      <c r="AL1194" s="184" t="s">
        <v>1431</v>
      </c>
      <c r="AM1194" s="184" t="s">
        <v>1483</v>
      </c>
      <c r="AN1194" s="184" t="s">
        <v>1538</v>
      </c>
      <c r="AO1194" s="184">
        <v>12</v>
      </c>
    </row>
    <row r="1195" spans="36:41" x14ac:dyDescent="0.25">
      <c r="AJ1195" s="184" t="s">
        <v>1360</v>
      </c>
      <c r="AK1195" s="184" t="s">
        <v>1389</v>
      </c>
      <c r="AL1195" s="184" t="s">
        <v>1433</v>
      </c>
      <c r="AM1195" s="184" t="s">
        <v>1439</v>
      </c>
      <c r="AN1195" s="184" t="s">
        <v>1535</v>
      </c>
      <c r="AO1195" s="184">
        <v>24</v>
      </c>
    </row>
    <row r="1196" spans="36:41" x14ac:dyDescent="0.25">
      <c r="AJ1196" s="184" t="s">
        <v>1361</v>
      </c>
      <c r="AK1196" s="184" t="s">
        <v>98</v>
      </c>
      <c r="AL1196" s="184" t="s">
        <v>1431</v>
      </c>
      <c r="AM1196" s="184" t="s">
        <v>1534</v>
      </c>
      <c r="AN1196" s="184" t="s">
        <v>99</v>
      </c>
      <c r="AO1196" s="184">
        <v>12</v>
      </c>
    </row>
    <row r="1197" spans="36:41" x14ac:dyDescent="0.25">
      <c r="AJ1197" s="184" t="s">
        <v>1362</v>
      </c>
      <c r="AK1197" s="184" t="s">
        <v>98</v>
      </c>
      <c r="AL1197" s="184" t="s">
        <v>1431</v>
      </c>
      <c r="AM1197" s="184" t="s">
        <v>1534</v>
      </c>
      <c r="AN1197" s="184" t="s">
        <v>99</v>
      </c>
      <c r="AO1197" s="184">
        <v>12</v>
      </c>
    </row>
    <row r="1198" spans="36:41" x14ac:dyDescent="0.25">
      <c r="AJ1198" s="184" t="s">
        <v>1363</v>
      </c>
      <c r="AK1198" s="184" t="s">
        <v>153</v>
      </c>
      <c r="AL1198" s="184" t="s">
        <v>1433</v>
      </c>
      <c r="AM1198" s="184" t="s">
        <v>1439</v>
      </c>
      <c r="AN1198" s="184" t="s">
        <v>1535</v>
      </c>
      <c r="AO1198" s="184">
        <v>24</v>
      </c>
    </row>
    <row r="1199" spans="36:41" x14ac:dyDescent="0.25">
      <c r="AJ1199" s="184" t="s">
        <v>1364</v>
      </c>
      <c r="AK1199" s="184" t="s">
        <v>153</v>
      </c>
      <c r="AL1199" s="184" t="s">
        <v>1433</v>
      </c>
      <c r="AM1199" s="184" t="s">
        <v>1439</v>
      </c>
      <c r="AN1199" s="184" t="s">
        <v>1535</v>
      </c>
      <c r="AO1199" s="184">
        <v>24</v>
      </c>
    </row>
    <row r="1200" spans="36:41" x14ac:dyDescent="0.25">
      <c r="AJ1200" s="184" t="s">
        <v>1365</v>
      </c>
      <c r="AK1200" s="184" t="s">
        <v>153</v>
      </c>
      <c r="AL1200" s="184" t="s">
        <v>1433</v>
      </c>
      <c r="AM1200" s="184" t="s">
        <v>1439</v>
      </c>
      <c r="AN1200" s="184" t="s">
        <v>1535</v>
      </c>
      <c r="AO1200" s="184">
        <v>24</v>
      </c>
    </row>
    <row r="1201" spans="36:41" x14ac:dyDescent="0.25">
      <c r="AJ1201" s="184" t="s">
        <v>1366</v>
      </c>
      <c r="AK1201" s="184" t="s">
        <v>153</v>
      </c>
      <c r="AL1201" s="184" t="s">
        <v>1433</v>
      </c>
      <c r="AM1201" s="184" t="s">
        <v>1439</v>
      </c>
      <c r="AN1201" s="184" t="s">
        <v>1535</v>
      </c>
      <c r="AO1201" s="184">
        <v>24</v>
      </c>
    </row>
    <row r="1202" spans="36:41" x14ac:dyDescent="0.25">
      <c r="AJ1202" s="184" t="s">
        <v>1367</v>
      </c>
      <c r="AK1202" s="184" t="s">
        <v>153</v>
      </c>
      <c r="AL1202" s="184" t="s">
        <v>1433</v>
      </c>
      <c r="AM1202" s="184" t="s">
        <v>1439</v>
      </c>
      <c r="AN1202" s="184" t="s">
        <v>1535</v>
      </c>
      <c r="AO1202" s="184">
        <v>24</v>
      </c>
    </row>
    <row r="1203" spans="36:41" x14ac:dyDescent="0.25">
      <c r="AJ1203" s="184" t="s">
        <v>1368</v>
      </c>
      <c r="AK1203" s="184" t="s">
        <v>153</v>
      </c>
      <c r="AL1203" s="184" t="s">
        <v>1433</v>
      </c>
      <c r="AM1203" s="184" t="s">
        <v>1439</v>
      </c>
      <c r="AN1203" s="184" t="s">
        <v>1535</v>
      </c>
      <c r="AO1203" s="184">
        <v>24</v>
      </c>
    </row>
    <row r="1204" spans="36:41" x14ac:dyDescent="0.25">
      <c r="AJ1204" s="184" t="s">
        <v>1369</v>
      </c>
      <c r="AK1204" s="184" t="s">
        <v>153</v>
      </c>
      <c r="AL1204" s="184" t="s">
        <v>1433</v>
      </c>
      <c r="AM1204" s="184" t="s">
        <v>1439</v>
      </c>
      <c r="AN1204" s="184" t="s">
        <v>1535</v>
      </c>
      <c r="AO1204" s="184">
        <v>24</v>
      </c>
    </row>
    <row r="1205" spans="36:41" x14ac:dyDescent="0.25">
      <c r="AJ1205" s="184" t="s">
        <v>1370</v>
      </c>
      <c r="AK1205" s="184" t="s">
        <v>153</v>
      </c>
      <c r="AL1205" s="184" t="s">
        <v>1433</v>
      </c>
      <c r="AM1205" s="184" t="s">
        <v>1439</v>
      </c>
      <c r="AN1205" s="184" t="s">
        <v>1535</v>
      </c>
      <c r="AO1205" s="184">
        <v>24</v>
      </c>
    </row>
    <row r="1206" spans="36:41" x14ac:dyDescent="0.25">
      <c r="AJ1206" s="184" t="s">
        <v>1371</v>
      </c>
      <c r="AK1206" s="184" t="s">
        <v>153</v>
      </c>
      <c r="AL1206" s="184" t="s">
        <v>1433</v>
      </c>
      <c r="AM1206" s="184" t="s">
        <v>1439</v>
      </c>
      <c r="AN1206" s="184" t="s">
        <v>1535</v>
      </c>
      <c r="AO1206" s="184">
        <v>24</v>
      </c>
    </row>
    <row r="1207" spans="36:41" x14ac:dyDescent="0.25">
      <c r="AJ1207" s="184" t="s">
        <v>1372</v>
      </c>
      <c r="AK1207" s="184" t="s">
        <v>153</v>
      </c>
      <c r="AL1207" s="184" t="s">
        <v>1433</v>
      </c>
      <c r="AM1207" s="184" t="s">
        <v>1439</v>
      </c>
      <c r="AN1207" s="184" t="s">
        <v>1535</v>
      </c>
      <c r="AO1207" s="184">
        <v>24</v>
      </c>
    </row>
    <row r="1208" spans="36:41" x14ac:dyDescent="0.25">
      <c r="AJ1208" s="184" t="s">
        <v>1373</v>
      </c>
      <c r="AK1208" s="184" t="s">
        <v>153</v>
      </c>
      <c r="AL1208" s="184" t="s">
        <v>1433</v>
      </c>
      <c r="AM1208" s="184" t="s">
        <v>1439</v>
      </c>
      <c r="AN1208" s="184" t="s">
        <v>1535</v>
      </c>
      <c r="AO1208" s="184">
        <v>24</v>
      </c>
    </row>
    <row r="1209" spans="36:41" x14ac:dyDescent="0.25">
      <c r="AJ1209" s="184" t="s">
        <v>1374</v>
      </c>
      <c r="AK1209" s="184" t="s">
        <v>153</v>
      </c>
      <c r="AL1209" s="184" t="s">
        <v>1433</v>
      </c>
      <c r="AM1209" s="184" t="s">
        <v>1439</v>
      </c>
      <c r="AN1209" s="184" t="s">
        <v>1535</v>
      </c>
      <c r="AO1209" s="184">
        <v>24</v>
      </c>
    </row>
    <row r="1210" spans="36:41" x14ac:dyDescent="0.25">
      <c r="AJ1210" s="184" t="s">
        <v>1375</v>
      </c>
      <c r="AK1210" s="184" t="s">
        <v>153</v>
      </c>
      <c r="AL1210" s="184" t="s">
        <v>1433</v>
      </c>
      <c r="AM1210" s="184" t="s">
        <v>1439</v>
      </c>
      <c r="AN1210" s="184" t="s">
        <v>1535</v>
      </c>
      <c r="AO1210" s="184">
        <v>24</v>
      </c>
    </row>
    <row r="1211" spans="36:41" x14ac:dyDescent="0.25">
      <c r="AJ1211" s="184" t="s">
        <v>1376</v>
      </c>
      <c r="AK1211" s="184" t="s">
        <v>153</v>
      </c>
      <c r="AL1211" s="184" t="s">
        <v>1433</v>
      </c>
      <c r="AM1211" s="184" t="s">
        <v>1439</v>
      </c>
      <c r="AN1211" s="184" t="s">
        <v>1535</v>
      </c>
      <c r="AO1211" s="184">
        <v>24</v>
      </c>
    </row>
    <row r="1212" spans="36:41" x14ac:dyDescent="0.25">
      <c r="AJ1212" s="184" t="s">
        <v>1377</v>
      </c>
      <c r="AK1212" s="184" t="s">
        <v>153</v>
      </c>
      <c r="AL1212" s="184" t="s">
        <v>1433</v>
      </c>
      <c r="AM1212" s="184" t="s">
        <v>1439</v>
      </c>
      <c r="AN1212" s="184" t="s">
        <v>1535</v>
      </c>
      <c r="AO1212" s="184">
        <v>24</v>
      </c>
    </row>
    <row r="1213" spans="36:41" x14ac:dyDescent="0.25">
      <c r="AJ1213" s="184" t="s">
        <v>1378</v>
      </c>
      <c r="AK1213" s="184" t="s">
        <v>153</v>
      </c>
      <c r="AL1213" s="184" t="s">
        <v>1433</v>
      </c>
      <c r="AM1213" s="184" t="s">
        <v>1439</v>
      </c>
      <c r="AN1213" s="184" t="s">
        <v>1535</v>
      </c>
      <c r="AO1213" s="184">
        <v>24</v>
      </c>
    </row>
    <row r="1214" spans="36:41" x14ac:dyDescent="0.25">
      <c r="AJ1214" s="184" t="s">
        <v>1379</v>
      </c>
      <c r="AK1214" s="184" t="s">
        <v>153</v>
      </c>
      <c r="AL1214" s="184" t="s">
        <v>1433</v>
      </c>
      <c r="AM1214" s="184" t="s">
        <v>1439</v>
      </c>
      <c r="AN1214" s="184" t="s">
        <v>1535</v>
      </c>
      <c r="AO1214" s="184">
        <v>24</v>
      </c>
    </row>
    <row r="1215" spans="36:41" x14ac:dyDescent="0.25">
      <c r="AJ1215" s="184" t="s">
        <v>1380</v>
      </c>
      <c r="AK1215" s="184" t="s">
        <v>1420</v>
      </c>
      <c r="AL1215" s="184" t="s">
        <v>1433</v>
      </c>
      <c r="AM1215" s="184" t="s">
        <v>59</v>
      </c>
      <c r="AN1215" s="184" t="s">
        <v>1537</v>
      </c>
      <c r="AO1215" s="184">
        <v>6</v>
      </c>
    </row>
    <row r="1216" spans="36:41" x14ac:dyDescent="0.25">
      <c r="AJ1216" s="184" t="s">
        <v>1381</v>
      </c>
      <c r="AK1216" s="184" t="s">
        <v>153</v>
      </c>
      <c r="AL1216" s="184" t="s">
        <v>1431</v>
      </c>
      <c r="AM1216" s="184" t="s">
        <v>1438</v>
      </c>
      <c r="AN1216" s="184" t="s">
        <v>1535</v>
      </c>
      <c r="AO1216" s="184">
        <v>12</v>
      </c>
    </row>
    <row r="1217" spans="36:41" x14ac:dyDescent="0.25">
      <c r="AJ1217" s="184" t="s">
        <v>1382</v>
      </c>
      <c r="AK1217" s="184" t="s">
        <v>153</v>
      </c>
      <c r="AL1217" s="184" t="s">
        <v>1431</v>
      </c>
      <c r="AM1217" s="184" t="s">
        <v>1438</v>
      </c>
      <c r="AN1217" s="184" t="s">
        <v>1535</v>
      </c>
      <c r="AO1217" s="184">
        <v>12</v>
      </c>
    </row>
    <row r="1218" spans="36:41" x14ac:dyDescent="0.25">
      <c r="AJ1218" s="184" t="s">
        <v>1383</v>
      </c>
      <c r="AK1218" s="184" t="s">
        <v>153</v>
      </c>
      <c r="AL1218" s="184" t="s">
        <v>1431</v>
      </c>
      <c r="AM1218" s="184" t="s">
        <v>1438</v>
      </c>
      <c r="AN1218" s="184" t="s">
        <v>1535</v>
      </c>
      <c r="AO1218" s="184">
        <v>12</v>
      </c>
    </row>
    <row r="1219" spans="36:41" x14ac:dyDescent="0.25">
      <c r="AJ1219" s="184" t="s">
        <v>1384</v>
      </c>
      <c r="AK1219" s="184" t="s">
        <v>153</v>
      </c>
      <c r="AL1219" s="184" t="s">
        <v>1431</v>
      </c>
      <c r="AM1219" s="184" t="s">
        <v>1438</v>
      </c>
      <c r="AN1219" s="184" t="s">
        <v>1535</v>
      </c>
      <c r="AO1219" s="184">
        <v>12</v>
      </c>
    </row>
    <row r="1220" spans="36:41" x14ac:dyDescent="0.25">
      <c r="AJ1220" s="184" t="s">
        <v>1385</v>
      </c>
      <c r="AK1220" s="184" t="s">
        <v>1425</v>
      </c>
      <c r="AL1220" s="184" t="s">
        <v>1431</v>
      </c>
      <c r="AM1220" s="184" t="s">
        <v>1492</v>
      </c>
      <c r="AN1220" s="184" t="s">
        <v>1538</v>
      </c>
      <c r="AO1220" s="184">
        <v>12</v>
      </c>
    </row>
    <row r="1221" spans="36:41" x14ac:dyDescent="0.25">
      <c r="AJ1221" s="184" t="s">
        <v>1386</v>
      </c>
      <c r="AK1221" s="184" t="s">
        <v>1429</v>
      </c>
      <c r="AL1221" s="184" t="s">
        <v>1431</v>
      </c>
      <c r="AM1221" s="184" t="s">
        <v>1474</v>
      </c>
      <c r="AN1221" s="184" t="s">
        <v>1538</v>
      </c>
      <c r="AO1221" s="184">
        <v>12</v>
      </c>
    </row>
    <row r="1222" spans="36:41" x14ac:dyDescent="0.25">
      <c r="AJ1222" s="184" t="s">
        <v>1387</v>
      </c>
      <c r="AK1222" s="184" t="s">
        <v>1407</v>
      </c>
      <c r="AL1222" s="184" t="s">
        <v>1433</v>
      </c>
      <c r="AM1222" s="184" t="s">
        <v>1531</v>
      </c>
      <c r="AN1222" s="184" t="s">
        <v>1538</v>
      </c>
      <c r="AO1222" s="184">
        <v>24</v>
      </c>
    </row>
    <row r="1223" spans="36:41" x14ac:dyDescent="0.25">
      <c r="AJ1223" s="184" t="s">
        <v>1557</v>
      </c>
      <c r="AK1223" s="184" t="s">
        <v>83</v>
      </c>
      <c r="AL1223" s="184" t="s">
        <v>1431</v>
      </c>
      <c r="AM1223" s="184" t="s">
        <v>1445</v>
      </c>
      <c r="AN1223" s="184" t="s">
        <v>137</v>
      </c>
      <c r="AO1223" s="184">
        <v>12</v>
      </c>
    </row>
    <row r="1224" spans="36:41" x14ac:dyDescent="0.25">
      <c r="AJ1224" s="184" t="s">
        <v>1558</v>
      </c>
      <c r="AK1224" s="184" t="s">
        <v>153</v>
      </c>
      <c r="AL1224" s="184" t="s">
        <v>1433</v>
      </c>
      <c r="AM1224" s="184" t="s">
        <v>1485</v>
      </c>
      <c r="AN1224" s="184" t="s">
        <v>1538</v>
      </c>
      <c r="AO1224" s="184">
        <v>24</v>
      </c>
    </row>
    <row r="1225" spans="36:41" x14ac:dyDescent="0.25">
      <c r="AJ1225" s="184" t="s">
        <v>1559</v>
      </c>
      <c r="AK1225" s="184" t="s">
        <v>101</v>
      </c>
      <c r="AL1225" s="184" t="s">
        <v>1433</v>
      </c>
      <c r="AM1225" s="184" t="s">
        <v>1448</v>
      </c>
      <c r="AN1225" s="184" t="s">
        <v>137</v>
      </c>
      <c r="AO1225" s="184">
        <v>24</v>
      </c>
    </row>
    <row r="1226" spans="36:41" x14ac:dyDescent="0.25">
      <c r="AJ1226" s="184" t="s">
        <v>1560</v>
      </c>
      <c r="AK1226" s="184" t="s">
        <v>1661</v>
      </c>
      <c r="AL1226" s="184" t="s">
        <v>1431</v>
      </c>
      <c r="AM1226" s="184" t="s">
        <v>1512</v>
      </c>
      <c r="AN1226" s="184" t="s">
        <v>1535</v>
      </c>
      <c r="AO1226" s="184">
        <v>12</v>
      </c>
    </row>
    <row r="1227" spans="36:41" x14ac:dyDescent="0.25">
      <c r="AJ1227" s="184" t="s">
        <v>1561</v>
      </c>
      <c r="AK1227" s="184" t="s">
        <v>1661</v>
      </c>
      <c r="AL1227" s="184" t="s">
        <v>1431</v>
      </c>
      <c r="AM1227" s="184" t="s">
        <v>1512</v>
      </c>
      <c r="AN1227" s="184" t="s">
        <v>1535</v>
      </c>
      <c r="AO1227" s="184">
        <v>12</v>
      </c>
    </row>
    <row r="1228" spans="36:41" x14ac:dyDescent="0.25">
      <c r="AJ1228" s="184" t="s">
        <v>1562</v>
      </c>
      <c r="AK1228" s="184" t="s">
        <v>1661</v>
      </c>
      <c r="AL1228" s="184" t="s">
        <v>1431</v>
      </c>
      <c r="AM1228" s="184" t="s">
        <v>1438</v>
      </c>
      <c r="AN1228" s="184" t="s">
        <v>1535</v>
      </c>
      <c r="AO1228" s="184">
        <v>12</v>
      </c>
    </row>
    <row r="1229" spans="36:41" x14ac:dyDescent="0.25">
      <c r="AJ1229" s="184" t="s">
        <v>1563</v>
      </c>
      <c r="AK1229" s="184" t="s">
        <v>1661</v>
      </c>
      <c r="AL1229" s="184" t="s">
        <v>1431</v>
      </c>
      <c r="AM1229" s="184" t="s">
        <v>1438</v>
      </c>
      <c r="AN1229" s="184" t="s">
        <v>1535</v>
      </c>
      <c r="AO1229" s="184">
        <v>12</v>
      </c>
    </row>
    <row r="1230" spans="36:41" x14ac:dyDescent="0.25">
      <c r="AJ1230" s="184" t="s">
        <v>1564</v>
      </c>
      <c r="AK1230" s="184" t="s">
        <v>1662</v>
      </c>
      <c r="AL1230" s="184" t="s">
        <v>1431</v>
      </c>
      <c r="AM1230" s="184" t="s">
        <v>1438</v>
      </c>
      <c r="AN1230" s="184" t="s">
        <v>1535</v>
      </c>
      <c r="AO1230" s="184">
        <v>12</v>
      </c>
    </row>
    <row r="1231" spans="36:41" x14ac:dyDescent="0.25">
      <c r="AJ1231" s="184" t="s">
        <v>1565</v>
      </c>
      <c r="AK1231" s="184" t="s">
        <v>1662</v>
      </c>
      <c r="AL1231" s="184" t="s">
        <v>1431</v>
      </c>
      <c r="AM1231" s="184" t="s">
        <v>1438</v>
      </c>
      <c r="AN1231" s="184" t="s">
        <v>1535</v>
      </c>
      <c r="AO1231" s="184">
        <v>12</v>
      </c>
    </row>
    <row r="1232" spans="36:41" x14ac:dyDescent="0.25">
      <c r="AJ1232" s="184" t="s">
        <v>1566</v>
      </c>
      <c r="AK1232" s="184" t="s">
        <v>1662</v>
      </c>
      <c r="AL1232" s="184" t="s">
        <v>1431</v>
      </c>
      <c r="AM1232" s="184" t="s">
        <v>1512</v>
      </c>
      <c r="AN1232" s="184" t="s">
        <v>1535</v>
      </c>
      <c r="AO1232" s="184">
        <v>12</v>
      </c>
    </row>
    <row r="1233" spans="36:41" x14ac:dyDescent="0.25">
      <c r="AJ1233" s="184" t="s">
        <v>1567</v>
      </c>
      <c r="AK1233" s="184" t="s">
        <v>1662</v>
      </c>
      <c r="AL1233" s="184" t="s">
        <v>1431</v>
      </c>
      <c r="AM1233" s="184" t="s">
        <v>1512</v>
      </c>
      <c r="AN1233" s="184" t="s">
        <v>1535</v>
      </c>
      <c r="AO1233" s="184">
        <v>12</v>
      </c>
    </row>
    <row r="1234" spans="36:41" x14ac:dyDescent="0.25">
      <c r="AJ1234" s="184" t="s">
        <v>1568</v>
      </c>
      <c r="AK1234" s="184" t="s">
        <v>153</v>
      </c>
      <c r="AL1234" s="184" t="s">
        <v>1433</v>
      </c>
      <c r="AM1234" s="184" t="s">
        <v>1485</v>
      </c>
      <c r="AN1234" s="184" t="s">
        <v>1538</v>
      </c>
      <c r="AO1234" s="184">
        <v>24</v>
      </c>
    </row>
    <row r="1235" spans="36:41" x14ac:dyDescent="0.25">
      <c r="AJ1235" s="184" t="s">
        <v>1569</v>
      </c>
      <c r="AK1235" s="184" t="s">
        <v>153</v>
      </c>
      <c r="AL1235" s="184" t="s">
        <v>1431</v>
      </c>
      <c r="AM1235" s="184" t="s">
        <v>1475</v>
      </c>
      <c r="AN1235" s="184" t="s">
        <v>1538</v>
      </c>
      <c r="AO1235" s="184">
        <v>12</v>
      </c>
    </row>
    <row r="1236" spans="36:41" x14ac:dyDescent="0.25">
      <c r="AJ1236" s="184" t="s">
        <v>1570</v>
      </c>
      <c r="AK1236" s="184" t="s">
        <v>154</v>
      </c>
      <c r="AL1236" s="184" t="s">
        <v>1432</v>
      </c>
      <c r="AM1236" s="184" t="s">
        <v>59</v>
      </c>
      <c r="AN1236" s="184" t="s">
        <v>1537</v>
      </c>
      <c r="AO1236" s="184">
        <v>24</v>
      </c>
    </row>
    <row r="1237" spans="36:41" x14ac:dyDescent="0.25">
      <c r="AJ1237" s="184" t="s">
        <v>1553</v>
      </c>
      <c r="AK1237" s="184" t="s">
        <v>1395</v>
      </c>
      <c r="AL1237" s="184" t="s">
        <v>1431</v>
      </c>
      <c r="AM1237" s="184" t="s">
        <v>1501</v>
      </c>
      <c r="AN1237" s="184" t="s">
        <v>1537</v>
      </c>
      <c r="AO1237" s="184">
        <v>12</v>
      </c>
    </row>
    <row r="1238" spans="36:41" x14ac:dyDescent="0.25">
      <c r="AJ1238" s="184" t="s">
        <v>1571</v>
      </c>
      <c r="AK1238" s="184" t="s">
        <v>1663</v>
      </c>
      <c r="AL1238" s="184" t="s">
        <v>1431</v>
      </c>
      <c r="AM1238" s="184" t="s">
        <v>1459</v>
      </c>
      <c r="AN1238" s="184" t="s">
        <v>137</v>
      </c>
      <c r="AO1238" s="184">
        <v>12</v>
      </c>
    </row>
    <row r="1239" spans="36:41" x14ac:dyDescent="0.25">
      <c r="AJ1239" s="184" t="s">
        <v>1572</v>
      </c>
      <c r="AK1239" s="184" t="s">
        <v>1425</v>
      </c>
      <c r="AL1239" s="184" t="s">
        <v>1431</v>
      </c>
      <c r="AM1239" s="184" t="s">
        <v>1482</v>
      </c>
      <c r="AN1239" s="184" t="s">
        <v>1538</v>
      </c>
      <c r="AO1239" s="184">
        <v>12</v>
      </c>
    </row>
    <row r="1240" spans="36:41" x14ac:dyDescent="0.25">
      <c r="AJ1240" s="184" t="s">
        <v>1573</v>
      </c>
      <c r="AK1240" s="184" t="s">
        <v>140</v>
      </c>
      <c r="AL1240" s="184" t="s">
        <v>1431</v>
      </c>
      <c r="AM1240" s="184" t="s">
        <v>1514</v>
      </c>
      <c r="AN1240" s="184" t="s">
        <v>1538</v>
      </c>
      <c r="AO1240" s="184">
        <v>12</v>
      </c>
    </row>
    <row r="1241" spans="36:41" x14ac:dyDescent="0.25">
      <c r="AJ1241" s="184" t="s">
        <v>1574</v>
      </c>
      <c r="AK1241" s="184" t="s">
        <v>153</v>
      </c>
      <c r="AL1241" s="184" t="s">
        <v>1431</v>
      </c>
      <c r="AM1241" s="184" t="s">
        <v>1514</v>
      </c>
      <c r="AN1241" s="184" t="s">
        <v>1538</v>
      </c>
      <c r="AO1241" s="184">
        <v>12</v>
      </c>
    </row>
    <row r="1242" spans="36:41" x14ac:dyDescent="0.25">
      <c r="AJ1242" s="184" t="s">
        <v>1575</v>
      </c>
      <c r="AK1242" s="184" t="s">
        <v>1419</v>
      </c>
      <c r="AL1242" s="184" t="s">
        <v>1431</v>
      </c>
      <c r="AM1242" s="184" t="s">
        <v>59</v>
      </c>
      <c r="AN1242" s="184" t="s">
        <v>1537</v>
      </c>
      <c r="AO1242" s="184">
        <v>24</v>
      </c>
    </row>
    <row r="1243" spans="36:41" x14ac:dyDescent="0.25">
      <c r="AJ1243" s="184" t="s">
        <v>1576</v>
      </c>
      <c r="AK1243" s="184" t="s">
        <v>153</v>
      </c>
      <c r="AL1243" s="184" t="s">
        <v>1431</v>
      </c>
      <c r="AM1243" s="184" t="s">
        <v>1674</v>
      </c>
      <c r="AN1243" s="184" t="s">
        <v>1535</v>
      </c>
      <c r="AO1243" s="184">
        <v>12</v>
      </c>
    </row>
    <row r="1244" spans="36:41" x14ac:dyDescent="0.25">
      <c r="AJ1244" s="184" t="s">
        <v>1577</v>
      </c>
      <c r="AK1244" s="184" t="s">
        <v>153</v>
      </c>
      <c r="AL1244" s="184" t="s">
        <v>1431</v>
      </c>
      <c r="AM1244" s="184" t="s">
        <v>1674</v>
      </c>
      <c r="AN1244" s="184" t="s">
        <v>1535</v>
      </c>
      <c r="AO1244" s="184">
        <v>12</v>
      </c>
    </row>
    <row r="1245" spans="36:41" x14ac:dyDescent="0.25">
      <c r="AJ1245" s="184" t="s">
        <v>1578</v>
      </c>
      <c r="AK1245" s="184" t="s">
        <v>153</v>
      </c>
      <c r="AL1245" s="184" t="s">
        <v>1431</v>
      </c>
      <c r="AM1245" s="184" t="s">
        <v>1674</v>
      </c>
      <c r="AN1245" s="184" t="s">
        <v>1535</v>
      </c>
      <c r="AO1245" s="184">
        <v>12</v>
      </c>
    </row>
    <row r="1246" spans="36:41" x14ac:dyDescent="0.25">
      <c r="AJ1246" s="184" t="s">
        <v>1579</v>
      </c>
      <c r="AK1246" s="184" t="s">
        <v>153</v>
      </c>
      <c r="AL1246" s="184" t="s">
        <v>1431</v>
      </c>
      <c r="AM1246" s="184" t="s">
        <v>1674</v>
      </c>
      <c r="AN1246" s="184" t="s">
        <v>1535</v>
      </c>
      <c r="AO1246" s="184">
        <v>12</v>
      </c>
    </row>
    <row r="1247" spans="36:41" x14ac:dyDescent="0.25">
      <c r="AJ1247" s="184" t="s">
        <v>1580</v>
      </c>
      <c r="AK1247" s="184" t="s">
        <v>1389</v>
      </c>
      <c r="AL1247" s="184" t="s">
        <v>1431</v>
      </c>
      <c r="AM1247" s="184" t="s">
        <v>1675</v>
      </c>
      <c r="AN1247" s="184" t="s">
        <v>1535</v>
      </c>
      <c r="AO1247" s="184">
        <v>12</v>
      </c>
    </row>
    <row r="1248" spans="36:41" x14ac:dyDescent="0.25">
      <c r="AJ1248" s="184" t="s">
        <v>1581</v>
      </c>
      <c r="AK1248" s="184" t="s">
        <v>1389</v>
      </c>
      <c r="AL1248" s="184" t="s">
        <v>1431</v>
      </c>
      <c r="AM1248" s="184" t="s">
        <v>1675</v>
      </c>
      <c r="AN1248" s="184" t="s">
        <v>1535</v>
      </c>
      <c r="AO1248" s="184">
        <v>12</v>
      </c>
    </row>
    <row r="1249" spans="36:41" x14ac:dyDescent="0.25">
      <c r="AJ1249" s="184" t="s">
        <v>1582</v>
      </c>
      <c r="AK1249" s="184" t="s">
        <v>1389</v>
      </c>
      <c r="AL1249" s="184" t="s">
        <v>1431</v>
      </c>
      <c r="AM1249" s="184" t="s">
        <v>1675</v>
      </c>
      <c r="AN1249" s="184" t="s">
        <v>1535</v>
      </c>
      <c r="AO1249" s="184">
        <v>12</v>
      </c>
    </row>
    <row r="1250" spans="36:41" x14ac:dyDescent="0.25">
      <c r="AJ1250" s="184" t="s">
        <v>1583</v>
      </c>
      <c r="AK1250" s="184" t="s">
        <v>135</v>
      </c>
      <c r="AL1250" s="184" t="s">
        <v>1430</v>
      </c>
      <c r="AM1250" s="184" t="s">
        <v>1438</v>
      </c>
      <c r="AN1250" s="184" t="s">
        <v>1535</v>
      </c>
      <c r="AO1250" s="184">
        <v>12</v>
      </c>
    </row>
    <row r="1251" spans="36:41" x14ac:dyDescent="0.25">
      <c r="AJ1251" s="184" t="s">
        <v>1584</v>
      </c>
      <c r="AK1251" s="184" t="s">
        <v>135</v>
      </c>
      <c r="AL1251" s="184" t="s">
        <v>1430</v>
      </c>
      <c r="AM1251" s="184" t="s">
        <v>1438</v>
      </c>
      <c r="AN1251" s="184" t="s">
        <v>1535</v>
      </c>
      <c r="AO1251" s="184">
        <v>12</v>
      </c>
    </row>
    <row r="1252" spans="36:41" x14ac:dyDescent="0.25">
      <c r="AJ1252" s="184" t="s">
        <v>1585</v>
      </c>
      <c r="AK1252" s="184" t="s">
        <v>135</v>
      </c>
      <c r="AL1252" s="184" t="s">
        <v>1430</v>
      </c>
      <c r="AM1252" s="184" t="s">
        <v>1438</v>
      </c>
      <c r="AN1252" s="184" t="s">
        <v>1535</v>
      </c>
      <c r="AO1252" s="184">
        <v>12</v>
      </c>
    </row>
    <row r="1253" spans="36:41" x14ac:dyDescent="0.25">
      <c r="AJ1253" s="184" t="s">
        <v>1586</v>
      </c>
      <c r="AK1253" s="184" t="s">
        <v>135</v>
      </c>
      <c r="AL1253" s="184" t="s">
        <v>1430</v>
      </c>
      <c r="AM1253" s="184" t="s">
        <v>1438</v>
      </c>
      <c r="AN1253" s="184" t="s">
        <v>1535</v>
      </c>
      <c r="AO1253" s="184">
        <v>12</v>
      </c>
    </row>
    <row r="1254" spans="36:41" x14ac:dyDescent="0.25">
      <c r="AJ1254" s="184" t="s">
        <v>1587</v>
      </c>
      <c r="AK1254" s="184" t="s">
        <v>135</v>
      </c>
      <c r="AL1254" s="184" t="s">
        <v>1430</v>
      </c>
      <c r="AM1254" s="184" t="s">
        <v>1438</v>
      </c>
      <c r="AN1254" s="184" t="s">
        <v>1535</v>
      </c>
      <c r="AO1254" s="184">
        <v>12</v>
      </c>
    </row>
    <row r="1255" spans="36:41" x14ac:dyDescent="0.25">
      <c r="AJ1255" s="184" t="s">
        <v>1588</v>
      </c>
      <c r="AK1255" s="184" t="s">
        <v>83</v>
      </c>
      <c r="AL1255" s="184" t="s">
        <v>1430</v>
      </c>
      <c r="AM1255" s="184" t="s">
        <v>1674</v>
      </c>
      <c r="AN1255" s="184" t="s">
        <v>1535</v>
      </c>
      <c r="AO1255" s="184">
        <v>12</v>
      </c>
    </row>
    <row r="1256" spans="36:41" x14ac:dyDescent="0.25">
      <c r="AJ1256" s="184" t="s">
        <v>1589</v>
      </c>
      <c r="AK1256" s="184" t="s">
        <v>83</v>
      </c>
      <c r="AL1256" s="184" t="s">
        <v>1430</v>
      </c>
      <c r="AM1256" s="184" t="s">
        <v>1674</v>
      </c>
      <c r="AN1256" s="184" t="s">
        <v>1535</v>
      </c>
      <c r="AO1256" s="184">
        <v>12</v>
      </c>
    </row>
    <row r="1257" spans="36:41" x14ac:dyDescent="0.25">
      <c r="AJ1257" s="184" t="s">
        <v>1590</v>
      </c>
      <c r="AK1257" s="184" t="s">
        <v>83</v>
      </c>
      <c r="AL1257" s="184" t="s">
        <v>1430</v>
      </c>
      <c r="AM1257" s="184" t="s">
        <v>1674</v>
      </c>
      <c r="AN1257" s="184" t="s">
        <v>1535</v>
      </c>
      <c r="AO1257" s="184">
        <v>12</v>
      </c>
    </row>
    <row r="1258" spans="36:41" x14ac:dyDescent="0.25">
      <c r="AJ1258" s="184" t="s">
        <v>1591</v>
      </c>
      <c r="AK1258" s="184" t="s">
        <v>83</v>
      </c>
      <c r="AL1258" s="184" t="s">
        <v>1430</v>
      </c>
      <c r="AM1258" s="184" t="s">
        <v>1674</v>
      </c>
      <c r="AN1258" s="184" t="s">
        <v>1535</v>
      </c>
      <c r="AO1258" s="184">
        <v>12</v>
      </c>
    </row>
    <row r="1259" spans="36:41" x14ac:dyDescent="0.25">
      <c r="AJ1259" s="184" t="s">
        <v>1592</v>
      </c>
      <c r="AK1259" s="184" t="s">
        <v>1664</v>
      </c>
      <c r="AL1259" s="184" t="s">
        <v>1430</v>
      </c>
      <c r="AM1259" s="184" t="s">
        <v>1674</v>
      </c>
      <c r="AN1259" s="184" t="s">
        <v>1535</v>
      </c>
      <c r="AO1259" s="184">
        <v>12</v>
      </c>
    </row>
    <row r="1260" spans="36:41" x14ac:dyDescent="0.25">
      <c r="AJ1260" s="184" t="s">
        <v>1593</v>
      </c>
      <c r="AK1260" s="184" t="s">
        <v>1665</v>
      </c>
      <c r="AL1260" s="184" t="s">
        <v>1431</v>
      </c>
      <c r="AM1260" s="184" t="s">
        <v>1674</v>
      </c>
      <c r="AN1260" s="184" t="s">
        <v>1535</v>
      </c>
      <c r="AO1260" s="184">
        <v>12</v>
      </c>
    </row>
    <row r="1261" spans="36:41" x14ac:dyDescent="0.25">
      <c r="AJ1261" s="184" t="s">
        <v>1594</v>
      </c>
      <c r="AK1261" s="184" t="s">
        <v>1665</v>
      </c>
      <c r="AL1261" s="184" t="s">
        <v>1431</v>
      </c>
      <c r="AM1261" s="184" t="s">
        <v>1674</v>
      </c>
      <c r="AN1261" s="184" t="s">
        <v>1535</v>
      </c>
      <c r="AO1261" s="184">
        <v>12</v>
      </c>
    </row>
    <row r="1262" spans="36:41" x14ac:dyDescent="0.25">
      <c r="AJ1262" s="184" t="s">
        <v>1595</v>
      </c>
      <c r="AK1262" s="184" t="s">
        <v>1665</v>
      </c>
      <c r="AL1262" s="184" t="s">
        <v>1431</v>
      </c>
      <c r="AM1262" s="184" t="s">
        <v>1439</v>
      </c>
      <c r="AN1262" s="184" t="s">
        <v>1535</v>
      </c>
      <c r="AO1262" s="184">
        <v>12</v>
      </c>
    </row>
    <row r="1263" spans="36:41" x14ac:dyDescent="0.25">
      <c r="AJ1263" s="184" t="s">
        <v>1596</v>
      </c>
      <c r="AK1263" s="184" t="s">
        <v>1665</v>
      </c>
      <c r="AL1263" s="184" t="s">
        <v>1431</v>
      </c>
      <c r="AM1263" s="184" t="s">
        <v>1439</v>
      </c>
      <c r="AN1263" s="184" t="s">
        <v>1535</v>
      </c>
      <c r="AO1263" s="184">
        <v>12</v>
      </c>
    </row>
    <row r="1264" spans="36:41" x14ac:dyDescent="0.25">
      <c r="AJ1264" s="184" t="s">
        <v>1597</v>
      </c>
      <c r="AK1264" s="184" t="s">
        <v>83</v>
      </c>
      <c r="AL1264" s="184" t="s">
        <v>1431</v>
      </c>
      <c r="AM1264" s="184" t="s">
        <v>1439</v>
      </c>
      <c r="AN1264" s="184" t="s">
        <v>1535</v>
      </c>
      <c r="AO1264" s="184">
        <v>12</v>
      </c>
    </row>
    <row r="1265" spans="36:41" x14ac:dyDescent="0.25">
      <c r="AJ1265" s="184" t="s">
        <v>1598</v>
      </c>
      <c r="AK1265" s="184" t="s">
        <v>83</v>
      </c>
      <c r="AL1265" s="184" t="s">
        <v>1431</v>
      </c>
      <c r="AM1265" s="184" t="s">
        <v>1439</v>
      </c>
      <c r="AN1265" s="184" t="s">
        <v>1535</v>
      </c>
      <c r="AO1265" s="184">
        <v>12</v>
      </c>
    </row>
    <row r="1266" spans="36:41" x14ac:dyDescent="0.25">
      <c r="AJ1266" s="184" t="s">
        <v>1599</v>
      </c>
      <c r="AK1266" s="184" t="s">
        <v>83</v>
      </c>
      <c r="AL1266" s="184" t="s">
        <v>1431</v>
      </c>
      <c r="AM1266" s="184" t="s">
        <v>1439</v>
      </c>
      <c r="AN1266" s="184" t="s">
        <v>1535</v>
      </c>
      <c r="AO1266" s="184">
        <v>12</v>
      </c>
    </row>
    <row r="1267" spans="36:41" x14ac:dyDescent="0.25">
      <c r="AJ1267" s="184" t="s">
        <v>1600</v>
      </c>
      <c r="AK1267" s="184" t="s">
        <v>83</v>
      </c>
      <c r="AL1267" s="184" t="s">
        <v>1431</v>
      </c>
      <c r="AM1267" s="184" t="s">
        <v>1439</v>
      </c>
      <c r="AN1267" s="184" t="s">
        <v>1535</v>
      </c>
      <c r="AO1267" s="184">
        <v>12</v>
      </c>
    </row>
    <row r="1268" spans="36:41" x14ac:dyDescent="0.25">
      <c r="AJ1268" s="184" t="s">
        <v>1601</v>
      </c>
      <c r="AK1268" s="184" t="s">
        <v>83</v>
      </c>
      <c r="AL1268" s="184" t="s">
        <v>1431</v>
      </c>
      <c r="AM1268" s="184" t="s">
        <v>1439</v>
      </c>
      <c r="AN1268" s="184" t="s">
        <v>1535</v>
      </c>
      <c r="AO1268" s="184">
        <v>12</v>
      </c>
    </row>
    <row r="1269" spans="36:41" x14ac:dyDescent="0.25">
      <c r="AJ1269" s="184" t="s">
        <v>1602</v>
      </c>
      <c r="AK1269" s="184" t="s">
        <v>83</v>
      </c>
      <c r="AL1269" s="184" t="s">
        <v>1431</v>
      </c>
      <c r="AM1269" s="184" t="s">
        <v>1439</v>
      </c>
      <c r="AN1269" s="184" t="s">
        <v>1535</v>
      </c>
      <c r="AO1269" s="184">
        <v>12</v>
      </c>
    </row>
    <row r="1270" spans="36:41" x14ac:dyDescent="0.25">
      <c r="AJ1270" s="184" t="s">
        <v>1603</v>
      </c>
      <c r="AK1270" s="184" t="s">
        <v>153</v>
      </c>
      <c r="AL1270" s="184" t="s">
        <v>1431</v>
      </c>
      <c r="AM1270" s="184" t="s">
        <v>1439</v>
      </c>
      <c r="AN1270" s="184" t="s">
        <v>1535</v>
      </c>
      <c r="AO1270" s="184">
        <v>12</v>
      </c>
    </row>
    <row r="1271" spans="36:41" x14ac:dyDescent="0.25">
      <c r="AJ1271" s="184" t="s">
        <v>1604</v>
      </c>
      <c r="AK1271" s="184" t="s">
        <v>153</v>
      </c>
      <c r="AL1271" s="184" t="s">
        <v>1431</v>
      </c>
      <c r="AM1271" s="184" t="s">
        <v>1439</v>
      </c>
      <c r="AN1271" s="184" t="s">
        <v>1535</v>
      </c>
      <c r="AO1271" s="184">
        <v>12</v>
      </c>
    </row>
    <row r="1272" spans="36:41" x14ac:dyDescent="0.25">
      <c r="AJ1272" s="184" t="s">
        <v>1605</v>
      </c>
      <c r="AK1272" s="184" t="s">
        <v>1666</v>
      </c>
      <c r="AL1272" s="184" t="s">
        <v>1431</v>
      </c>
      <c r="AM1272" s="184" t="s">
        <v>1439</v>
      </c>
      <c r="AN1272" s="184" t="s">
        <v>1535</v>
      </c>
      <c r="AO1272" s="184">
        <v>12</v>
      </c>
    </row>
    <row r="1273" spans="36:41" x14ac:dyDescent="0.25">
      <c r="AJ1273" s="184" t="s">
        <v>1606</v>
      </c>
      <c r="AK1273" s="184" t="s">
        <v>1665</v>
      </c>
      <c r="AL1273" s="184" t="s">
        <v>1431</v>
      </c>
      <c r="AM1273" s="184" t="s">
        <v>1439</v>
      </c>
      <c r="AN1273" s="184" t="s">
        <v>1535</v>
      </c>
      <c r="AO1273" s="184">
        <v>12</v>
      </c>
    </row>
    <row r="1274" spans="36:41" x14ac:dyDescent="0.25">
      <c r="AJ1274" s="184" t="s">
        <v>1607</v>
      </c>
      <c r="AK1274" s="184" t="s">
        <v>1667</v>
      </c>
      <c r="AL1274" s="184" t="s">
        <v>1431</v>
      </c>
      <c r="AM1274" s="184" t="s">
        <v>1439</v>
      </c>
      <c r="AN1274" s="184" t="s">
        <v>1535</v>
      </c>
      <c r="AO1274" s="184">
        <v>12</v>
      </c>
    </row>
    <row r="1275" spans="36:41" x14ac:dyDescent="0.25">
      <c r="AJ1275" s="184" t="s">
        <v>1608</v>
      </c>
      <c r="AK1275" s="184" t="s">
        <v>1666</v>
      </c>
      <c r="AL1275" s="184" t="s">
        <v>1431</v>
      </c>
      <c r="AM1275" s="184" t="s">
        <v>1439</v>
      </c>
      <c r="AN1275" s="184" t="s">
        <v>1535</v>
      </c>
      <c r="AO1275" s="184">
        <v>12</v>
      </c>
    </row>
    <row r="1276" spans="36:41" x14ac:dyDescent="0.25">
      <c r="AJ1276" s="184" t="s">
        <v>1609</v>
      </c>
      <c r="AK1276" s="184" t="s">
        <v>153</v>
      </c>
      <c r="AL1276" s="184" t="s">
        <v>1431</v>
      </c>
      <c r="AM1276" s="184" t="s">
        <v>1676</v>
      </c>
      <c r="AN1276" s="184" t="s">
        <v>1535</v>
      </c>
      <c r="AO1276" s="184">
        <v>12</v>
      </c>
    </row>
    <row r="1277" spans="36:41" x14ac:dyDescent="0.25">
      <c r="AJ1277" s="184" t="s">
        <v>1610</v>
      </c>
      <c r="AK1277" s="184" t="s">
        <v>153</v>
      </c>
      <c r="AL1277" s="184" t="s">
        <v>1431</v>
      </c>
      <c r="AM1277" s="184" t="s">
        <v>1676</v>
      </c>
      <c r="AN1277" s="184" t="s">
        <v>1535</v>
      </c>
      <c r="AO1277" s="184">
        <v>12</v>
      </c>
    </row>
    <row r="1278" spans="36:41" x14ac:dyDescent="0.25">
      <c r="AJ1278" s="184" t="s">
        <v>1611</v>
      </c>
      <c r="AK1278" s="184" t="s">
        <v>153</v>
      </c>
      <c r="AL1278" s="184" t="s">
        <v>1431</v>
      </c>
      <c r="AM1278" s="184" t="s">
        <v>1676</v>
      </c>
      <c r="AN1278" s="184" t="s">
        <v>1535</v>
      </c>
      <c r="AO1278" s="184">
        <v>12</v>
      </c>
    </row>
    <row r="1279" spans="36:41" x14ac:dyDescent="0.25">
      <c r="AJ1279" s="184" t="s">
        <v>1612</v>
      </c>
      <c r="AK1279" s="184" t="s">
        <v>1668</v>
      </c>
      <c r="AL1279" s="184" t="s">
        <v>1431</v>
      </c>
      <c r="AM1279" s="184" t="s">
        <v>1443</v>
      </c>
      <c r="AN1279" s="184" t="s">
        <v>1536</v>
      </c>
      <c r="AO1279" s="184">
        <v>12</v>
      </c>
    </row>
    <row r="1280" spans="36:41" x14ac:dyDescent="0.25">
      <c r="AJ1280" s="184" t="s">
        <v>1613</v>
      </c>
      <c r="AK1280" s="184" t="s">
        <v>1669</v>
      </c>
      <c r="AL1280" s="184" t="s">
        <v>1431</v>
      </c>
      <c r="AM1280" s="184" t="s">
        <v>1443</v>
      </c>
      <c r="AN1280" s="184" t="s">
        <v>1536</v>
      </c>
      <c r="AO1280" s="184">
        <v>12</v>
      </c>
    </row>
    <row r="1281" spans="36:41" x14ac:dyDescent="0.25">
      <c r="AJ1281" s="184" t="s">
        <v>1614</v>
      </c>
      <c r="AK1281" s="184" t="s">
        <v>1670</v>
      </c>
      <c r="AL1281" s="184" t="s">
        <v>1433</v>
      </c>
      <c r="AM1281" s="184" t="s">
        <v>1677</v>
      </c>
      <c r="AN1281" s="184" t="s">
        <v>1678</v>
      </c>
      <c r="AO1281" s="184">
        <v>24</v>
      </c>
    </row>
    <row r="1282" spans="36:41" x14ac:dyDescent="0.25">
      <c r="AJ1282" s="184" t="s">
        <v>1615</v>
      </c>
      <c r="AK1282" s="184" t="s">
        <v>83</v>
      </c>
      <c r="AL1282" s="184" t="s">
        <v>1431</v>
      </c>
      <c r="AM1282" s="184" t="s">
        <v>1523</v>
      </c>
      <c r="AN1282" s="184" t="s">
        <v>1538</v>
      </c>
      <c r="AO1282" s="184">
        <v>12</v>
      </c>
    </row>
    <row r="1283" spans="36:41" x14ac:dyDescent="0.25">
      <c r="AJ1283" s="184" t="s">
        <v>1616</v>
      </c>
      <c r="AK1283" s="184" t="s">
        <v>1671</v>
      </c>
      <c r="AL1283" s="184" t="s">
        <v>1431</v>
      </c>
      <c r="AM1283" s="184" t="s">
        <v>1523</v>
      </c>
      <c r="AN1283" s="184" t="s">
        <v>1538</v>
      </c>
      <c r="AO1283" s="184">
        <v>12</v>
      </c>
    </row>
    <row r="1284" spans="36:41" x14ac:dyDescent="0.25">
      <c r="AJ1284" s="184" t="s">
        <v>1617</v>
      </c>
      <c r="AK1284" s="184" t="s">
        <v>1671</v>
      </c>
      <c r="AL1284" s="184" t="s">
        <v>1431</v>
      </c>
      <c r="AM1284" s="184" t="s">
        <v>1523</v>
      </c>
      <c r="AN1284" s="184" t="s">
        <v>1538</v>
      </c>
      <c r="AO1284" s="184">
        <v>12</v>
      </c>
    </row>
    <row r="1285" spans="36:41" x14ac:dyDescent="0.25">
      <c r="AJ1285" s="184" t="s">
        <v>1618</v>
      </c>
      <c r="AK1285" s="184" t="s">
        <v>153</v>
      </c>
      <c r="AL1285" s="184" t="s">
        <v>1431</v>
      </c>
      <c r="AM1285" s="184" t="s">
        <v>1523</v>
      </c>
      <c r="AN1285" s="184" t="s">
        <v>1538</v>
      </c>
      <c r="AO1285" s="184">
        <v>12</v>
      </c>
    </row>
    <row r="1286" spans="36:41" x14ac:dyDescent="0.25">
      <c r="AJ1286" s="184" t="s">
        <v>1619</v>
      </c>
      <c r="AK1286" s="184" t="s">
        <v>153</v>
      </c>
      <c r="AL1286" s="184" t="s">
        <v>1431</v>
      </c>
      <c r="AM1286" s="184" t="s">
        <v>1523</v>
      </c>
      <c r="AN1286" s="184" t="s">
        <v>1538</v>
      </c>
      <c r="AO1286" s="184">
        <v>12</v>
      </c>
    </row>
    <row r="1287" spans="36:41" x14ac:dyDescent="0.25">
      <c r="AJ1287" s="184" t="s">
        <v>1620</v>
      </c>
      <c r="AK1287" s="184" t="s">
        <v>153</v>
      </c>
      <c r="AL1287" s="184" t="s">
        <v>1431</v>
      </c>
      <c r="AM1287" s="184" t="s">
        <v>1523</v>
      </c>
      <c r="AN1287" s="184" t="s">
        <v>1538</v>
      </c>
      <c r="AO1287" s="184">
        <v>12</v>
      </c>
    </row>
    <row r="1288" spans="36:41" x14ac:dyDescent="0.25">
      <c r="AJ1288" s="184" t="s">
        <v>1621</v>
      </c>
      <c r="AK1288" s="184" t="s">
        <v>153</v>
      </c>
      <c r="AL1288" s="184" t="s">
        <v>1431</v>
      </c>
      <c r="AM1288" s="184" t="s">
        <v>1523</v>
      </c>
      <c r="AN1288" s="184" t="s">
        <v>1538</v>
      </c>
      <c r="AO1288" s="184">
        <v>12</v>
      </c>
    </row>
    <row r="1289" spans="36:41" x14ac:dyDescent="0.25">
      <c r="AJ1289" s="184" t="s">
        <v>1622</v>
      </c>
      <c r="AK1289" s="184" t="s">
        <v>153</v>
      </c>
      <c r="AL1289" s="184" t="s">
        <v>1431</v>
      </c>
      <c r="AM1289" s="184" t="s">
        <v>1523</v>
      </c>
      <c r="AN1289" s="184" t="s">
        <v>1538</v>
      </c>
      <c r="AO1289" s="184">
        <v>12</v>
      </c>
    </row>
    <row r="1290" spans="36:41" x14ac:dyDescent="0.25">
      <c r="AJ1290" s="184" t="s">
        <v>1623</v>
      </c>
      <c r="AK1290" s="184" t="s">
        <v>1670</v>
      </c>
      <c r="AL1290" s="184" t="s">
        <v>1431</v>
      </c>
      <c r="AM1290" s="184" t="s">
        <v>1523</v>
      </c>
      <c r="AN1290" s="184" t="s">
        <v>1538</v>
      </c>
      <c r="AO1290" s="184">
        <v>12</v>
      </c>
    </row>
    <row r="1291" spans="36:41" x14ac:dyDescent="0.25">
      <c r="AJ1291" s="184" t="s">
        <v>1624</v>
      </c>
      <c r="AK1291" s="184" t="s">
        <v>1672</v>
      </c>
      <c r="AL1291" s="184" t="s">
        <v>1431</v>
      </c>
      <c r="AM1291" s="184" t="s">
        <v>1482</v>
      </c>
      <c r="AN1291" s="184" t="s">
        <v>1538</v>
      </c>
      <c r="AO1291" s="184">
        <v>12</v>
      </c>
    </row>
    <row r="1292" spans="36:41" x14ac:dyDescent="0.25">
      <c r="AJ1292" s="184" t="s">
        <v>1625</v>
      </c>
      <c r="AK1292" s="184" t="s">
        <v>1672</v>
      </c>
      <c r="AL1292" s="184" t="s">
        <v>1431</v>
      </c>
      <c r="AM1292" s="184" t="s">
        <v>1491</v>
      </c>
      <c r="AN1292" s="184" t="s">
        <v>1538</v>
      </c>
      <c r="AO1292" s="184">
        <v>12</v>
      </c>
    </row>
    <row r="1293" spans="36:41" x14ac:dyDescent="0.25">
      <c r="AJ1293" s="184" t="s">
        <v>1626</v>
      </c>
      <c r="AK1293" s="184" t="s">
        <v>101</v>
      </c>
      <c r="AL1293" s="184" t="s">
        <v>1433</v>
      </c>
      <c r="AM1293" s="184" t="s">
        <v>1510</v>
      </c>
      <c r="AN1293" s="184" t="s">
        <v>137</v>
      </c>
      <c r="AO1293" s="184">
        <v>24</v>
      </c>
    </row>
    <row r="1294" spans="36:41" x14ac:dyDescent="0.25">
      <c r="AJ1294" s="184" t="s">
        <v>1627</v>
      </c>
      <c r="AK1294" s="184" t="s">
        <v>83</v>
      </c>
      <c r="AL1294" s="184" t="s">
        <v>1433</v>
      </c>
      <c r="AM1294" s="184" t="s">
        <v>1510</v>
      </c>
      <c r="AN1294" s="184" t="s">
        <v>137</v>
      </c>
      <c r="AO1294" s="184">
        <v>24</v>
      </c>
    </row>
    <row r="1295" spans="36:41" x14ac:dyDescent="0.25">
      <c r="AJ1295" s="184" t="s">
        <v>1628</v>
      </c>
      <c r="AK1295" s="184" t="s">
        <v>1396</v>
      </c>
      <c r="AL1295" s="184" t="s">
        <v>1431</v>
      </c>
      <c r="AM1295" s="184" t="s">
        <v>1443</v>
      </c>
      <c r="AN1295" s="184" t="s">
        <v>1536</v>
      </c>
      <c r="AO1295" s="184">
        <v>12</v>
      </c>
    </row>
    <row r="1296" spans="36:41" x14ac:dyDescent="0.25">
      <c r="AJ1296" s="184" t="s">
        <v>1629</v>
      </c>
      <c r="AK1296" s="184" t="s">
        <v>153</v>
      </c>
      <c r="AL1296" s="184" t="s">
        <v>1431</v>
      </c>
      <c r="AM1296" s="184" t="s">
        <v>1523</v>
      </c>
      <c r="AN1296" s="184" t="s">
        <v>1538</v>
      </c>
      <c r="AO1296" s="184">
        <v>12</v>
      </c>
    </row>
    <row r="1297" spans="36:41" x14ac:dyDescent="0.25">
      <c r="AJ1297" s="184" t="s">
        <v>1630</v>
      </c>
      <c r="AK1297" s="184" t="s">
        <v>1665</v>
      </c>
      <c r="AL1297" s="184" t="s">
        <v>1431</v>
      </c>
      <c r="AM1297" s="184" t="s">
        <v>1523</v>
      </c>
      <c r="AN1297" s="184" t="s">
        <v>1538</v>
      </c>
      <c r="AO1297" s="184">
        <v>12</v>
      </c>
    </row>
    <row r="1298" spans="36:41" x14ac:dyDescent="0.25">
      <c r="AJ1298" s="184" t="s">
        <v>1631</v>
      </c>
      <c r="AK1298" s="184" t="s">
        <v>140</v>
      </c>
      <c r="AL1298" s="184" t="s">
        <v>1431</v>
      </c>
      <c r="AM1298" s="184" t="s">
        <v>1496</v>
      </c>
      <c r="AN1298" s="184" t="s">
        <v>1539</v>
      </c>
      <c r="AO1298" s="184">
        <v>12</v>
      </c>
    </row>
    <row r="1299" spans="36:41" x14ac:dyDescent="0.25">
      <c r="AJ1299" s="184" t="s">
        <v>1632</v>
      </c>
      <c r="AK1299" s="184" t="s">
        <v>153</v>
      </c>
      <c r="AL1299" s="184" t="s">
        <v>1431</v>
      </c>
      <c r="AM1299" s="184" t="s">
        <v>1675</v>
      </c>
      <c r="AN1299" s="184" t="s">
        <v>1538</v>
      </c>
      <c r="AO1299" s="184">
        <v>12</v>
      </c>
    </row>
    <row r="1300" spans="36:41" x14ac:dyDescent="0.25">
      <c r="AJ1300" s="184" t="s">
        <v>1633</v>
      </c>
      <c r="AK1300" s="184" t="s">
        <v>153</v>
      </c>
      <c r="AL1300" s="184" t="s">
        <v>1431</v>
      </c>
      <c r="AM1300" s="184" t="s">
        <v>1675</v>
      </c>
      <c r="AN1300" s="184" t="s">
        <v>1538</v>
      </c>
      <c r="AO1300" s="184">
        <v>12</v>
      </c>
    </row>
    <row r="1301" spans="36:41" x14ac:dyDescent="0.25">
      <c r="AJ1301" s="184" t="s">
        <v>1634</v>
      </c>
      <c r="AK1301" s="184" t="s">
        <v>1665</v>
      </c>
      <c r="AL1301" s="184" t="s">
        <v>1431</v>
      </c>
      <c r="AM1301" s="184" t="s">
        <v>1675</v>
      </c>
      <c r="AN1301" s="184" t="s">
        <v>1538</v>
      </c>
      <c r="AO1301" s="184">
        <v>12</v>
      </c>
    </row>
    <row r="1302" spans="36:41" x14ac:dyDescent="0.25">
      <c r="AJ1302" s="184" t="s">
        <v>1635</v>
      </c>
      <c r="AK1302" s="184" t="s">
        <v>1665</v>
      </c>
      <c r="AL1302" s="184" t="s">
        <v>1431</v>
      </c>
      <c r="AM1302" s="184" t="s">
        <v>1675</v>
      </c>
      <c r="AN1302" s="184" t="s">
        <v>1538</v>
      </c>
      <c r="AO1302" s="184">
        <v>12</v>
      </c>
    </row>
    <row r="1303" spans="36:41" x14ac:dyDescent="0.25">
      <c r="AJ1303" s="184" t="s">
        <v>1636</v>
      </c>
      <c r="AK1303" s="184" t="s">
        <v>1665</v>
      </c>
      <c r="AL1303" s="184" t="s">
        <v>1431</v>
      </c>
      <c r="AM1303" s="184" t="s">
        <v>1675</v>
      </c>
      <c r="AN1303" s="184" t="s">
        <v>1538</v>
      </c>
      <c r="AO1303" s="184">
        <v>12</v>
      </c>
    </row>
    <row r="1304" spans="36:41" x14ac:dyDescent="0.25">
      <c r="AJ1304" s="184" t="s">
        <v>1637</v>
      </c>
      <c r="AK1304" s="184" t="s">
        <v>83</v>
      </c>
      <c r="AL1304" s="184" t="s">
        <v>1431</v>
      </c>
      <c r="AM1304" s="184" t="s">
        <v>1675</v>
      </c>
      <c r="AN1304" s="184" t="s">
        <v>1538</v>
      </c>
      <c r="AO1304" s="184">
        <v>12</v>
      </c>
    </row>
    <row r="1305" spans="36:41" x14ac:dyDescent="0.25">
      <c r="AJ1305" s="184" t="s">
        <v>1638</v>
      </c>
      <c r="AK1305" s="184" t="s">
        <v>1673</v>
      </c>
      <c r="AL1305" s="184" t="s">
        <v>1431</v>
      </c>
      <c r="AM1305" s="184" t="s">
        <v>1675</v>
      </c>
      <c r="AN1305" s="184" t="s">
        <v>1538</v>
      </c>
      <c r="AO1305" s="184">
        <v>12</v>
      </c>
    </row>
    <row r="1306" spans="36:41" x14ac:dyDescent="0.25">
      <c r="AJ1306" s="184" t="s">
        <v>1639</v>
      </c>
      <c r="AK1306" s="184" t="s">
        <v>153</v>
      </c>
      <c r="AL1306" s="184" t="s">
        <v>1431</v>
      </c>
      <c r="AM1306" s="184" t="s">
        <v>1675</v>
      </c>
      <c r="AN1306" s="184" t="s">
        <v>1538</v>
      </c>
      <c r="AO1306" s="184">
        <v>12</v>
      </c>
    </row>
    <row r="1307" spans="36:41" x14ac:dyDescent="0.25">
      <c r="AJ1307" s="184" t="s">
        <v>1640</v>
      </c>
      <c r="AK1307" s="184" t="s">
        <v>153</v>
      </c>
      <c r="AL1307" s="184" t="s">
        <v>1431</v>
      </c>
      <c r="AM1307" s="184" t="s">
        <v>1675</v>
      </c>
      <c r="AN1307" s="184" t="s">
        <v>1538</v>
      </c>
      <c r="AO1307" s="184">
        <v>12</v>
      </c>
    </row>
    <row r="1308" spans="36:41" x14ac:dyDescent="0.25">
      <c r="AJ1308" s="184" t="s">
        <v>1641</v>
      </c>
      <c r="AK1308" s="184" t="s">
        <v>153</v>
      </c>
      <c r="AL1308" s="184" t="s">
        <v>1431</v>
      </c>
      <c r="AM1308" s="184" t="s">
        <v>1675</v>
      </c>
      <c r="AN1308" s="184" t="s">
        <v>1538</v>
      </c>
      <c r="AO1308" s="184">
        <v>12</v>
      </c>
    </row>
    <row r="1309" spans="36:41" x14ac:dyDescent="0.25">
      <c r="AJ1309" s="184" t="s">
        <v>1642</v>
      </c>
      <c r="AK1309" s="184" t="s">
        <v>1665</v>
      </c>
      <c r="AL1309" s="184" t="s">
        <v>1431</v>
      </c>
      <c r="AM1309" s="184" t="s">
        <v>1675</v>
      </c>
      <c r="AN1309" s="184" t="s">
        <v>1538</v>
      </c>
      <c r="AO1309" s="184">
        <v>12</v>
      </c>
    </row>
    <row r="1310" spans="36:41" x14ac:dyDescent="0.25">
      <c r="AJ1310" s="184" t="s">
        <v>1643</v>
      </c>
      <c r="AK1310" s="184" t="s">
        <v>1665</v>
      </c>
      <c r="AL1310" s="184" t="s">
        <v>1431</v>
      </c>
      <c r="AM1310" s="184" t="s">
        <v>1675</v>
      </c>
      <c r="AN1310" s="184" t="s">
        <v>1538</v>
      </c>
      <c r="AO1310" s="184">
        <v>12</v>
      </c>
    </row>
    <row r="1311" spans="36:41" x14ac:dyDescent="0.25">
      <c r="AJ1311" s="184" t="s">
        <v>1644</v>
      </c>
      <c r="AK1311" s="184" t="s">
        <v>83</v>
      </c>
      <c r="AL1311" s="184" t="s">
        <v>1431</v>
      </c>
      <c r="AM1311" s="184" t="s">
        <v>1675</v>
      </c>
      <c r="AN1311" s="184" t="s">
        <v>1538</v>
      </c>
      <c r="AO1311" s="184">
        <v>12</v>
      </c>
    </row>
    <row r="1312" spans="36:41" x14ac:dyDescent="0.25">
      <c r="AJ1312" s="184" t="s">
        <v>1645</v>
      </c>
      <c r="AK1312" s="184" t="s">
        <v>83</v>
      </c>
      <c r="AL1312" s="184" t="s">
        <v>1431</v>
      </c>
      <c r="AM1312" s="184" t="s">
        <v>1675</v>
      </c>
      <c r="AN1312" s="184" t="s">
        <v>1538</v>
      </c>
      <c r="AO1312" s="184">
        <v>12</v>
      </c>
    </row>
    <row r="1313" spans="36:41" x14ac:dyDescent="0.25">
      <c r="AJ1313" s="184" t="s">
        <v>1646</v>
      </c>
      <c r="AK1313" s="184" t="s">
        <v>83</v>
      </c>
      <c r="AL1313" s="184" t="s">
        <v>1431</v>
      </c>
      <c r="AM1313" s="184" t="s">
        <v>1675</v>
      </c>
      <c r="AN1313" s="184" t="s">
        <v>1538</v>
      </c>
      <c r="AO1313" s="184">
        <v>12</v>
      </c>
    </row>
    <row r="1314" spans="36:41" x14ac:dyDescent="0.25">
      <c r="AJ1314" s="184" t="s">
        <v>1647</v>
      </c>
      <c r="AK1314" s="184" t="s">
        <v>83</v>
      </c>
      <c r="AL1314" s="184" t="s">
        <v>1431</v>
      </c>
      <c r="AM1314" s="184" t="s">
        <v>1675</v>
      </c>
      <c r="AN1314" s="184" t="s">
        <v>1538</v>
      </c>
      <c r="AO1314" s="184">
        <v>12</v>
      </c>
    </row>
    <row r="1315" spans="36:41" x14ac:dyDescent="0.25">
      <c r="AJ1315" s="184" t="s">
        <v>1648</v>
      </c>
      <c r="AK1315" s="184" t="s">
        <v>83</v>
      </c>
      <c r="AL1315" s="184" t="s">
        <v>1431</v>
      </c>
      <c r="AM1315" s="184" t="s">
        <v>1675</v>
      </c>
      <c r="AN1315" s="184" t="s">
        <v>1538</v>
      </c>
      <c r="AO1315" s="184">
        <v>12</v>
      </c>
    </row>
    <row r="1316" spans="36:41" x14ac:dyDescent="0.25">
      <c r="AJ1316" s="184" t="s">
        <v>1649</v>
      </c>
      <c r="AK1316" s="184" t="s">
        <v>83</v>
      </c>
      <c r="AL1316" s="184" t="s">
        <v>1431</v>
      </c>
      <c r="AM1316" s="184" t="s">
        <v>1675</v>
      </c>
      <c r="AN1316" s="184" t="s">
        <v>1538</v>
      </c>
      <c r="AO1316" s="184">
        <v>12</v>
      </c>
    </row>
    <row r="1317" spans="36:41" x14ac:dyDescent="0.25">
      <c r="AJ1317" s="184" t="s">
        <v>1650</v>
      </c>
      <c r="AK1317" s="184" t="s">
        <v>83</v>
      </c>
      <c r="AL1317" s="184" t="s">
        <v>1431</v>
      </c>
      <c r="AM1317" s="184" t="s">
        <v>1675</v>
      </c>
      <c r="AN1317" s="184" t="s">
        <v>1538</v>
      </c>
      <c r="AO1317" s="184">
        <v>12</v>
      </c>
    </row>
    <row r="1318" spans="36:41" x14ac:dyDescent="0.25">
      <c r="AJ1318" s="184" t="s">
        <v>1651</v>
      </c>
      <c r="AK1318" s="184" t="s">
        <v>83</v>
      </c>
      <c r="AL1318" s="184" t="s">
        <v>1431</v>
      </c>
      <c r="AM1318" s="184" t="s">
        <v>1675</v>
      </c>
      <c r="AN1318" s="184" t="s">
        <v>1538</v>
      </c>
      <c r="AO1318" s="184">
        <v>12</v>
      </c>
    </row>
    <row r="1319" spans="36:41" x14ac:dyDescent="0.25">
      <c r="AJ1319" s="184" t="s">
        <v>1652</v>
      </c>
      <c r="AK1319" s="184" t="s">
        <v>83</v>
      </c>
      <c r="AL1319" s="184" t="s">
        <v>1431</v>
      </c>
      <c r="AM1319" s="184" t="s">
        <v>1675</v>
      </c>
      <c r="AN1319" s="184" t="s">
        <v>1538</v>
      </c>
      <c r="AO1319" s="184">
        <v>12</v>
      </c>
    </row>
    <row r="1320" spans="36:41" x14ac:dyDescent="0.25">
      <c r="AJ1320" s="184" t="s">
        <v>1653</v>
      </c>
      <c r="AK1320" s="184" t="s">
        <v>83</v>
      </c>
      <c r="AL1320" s="184" t="s">
        <v>1431</v>
      </c>
      <c r="AM1320" s="184" t="s">
        <v>1675</v>
      </c>
      <c r="AN1320" s="184" t="s">
        <v>1538</v>
      </c>
      <c r="AO1320" s="184">
        <v>12</v>
      </c>
    </row>
    <row r="1321" spans="36:41" x14ac:dyDescent="0.25">
      <c r="AJ1321" s="184" t="s">
        <v>1654</v>
      </c>
      <c r="AK1321" s="184" t="s">
        <v>83</v>
      </c>
      <c r="AL1321" s="184" t="s">
        <v>1431</v>
      </c>
      <c r="AM1321" s="184" t="s">
        <v>1675</v>
      </c>
      <c r="AN1321" s="184" t="s">
        <v>1538</v>
      </c>
      <c r="AO1321" s="184">
        <v>12</v>
      </c>
    </row>
    <row r="1322" spans="36:41" x14ac:dyDescent="0.25">
      <c r="AJ1322" s="184" t="s">
        <v>1655</v>
      </c>
      <c r="AK1322" s="184" t="s">
        <v>83</v>
      </c>
      <c r="AL1322" s="184" t="s">
        <v>1431</v>
      </c>
      <c r="AM1322" s="184" t="s">
        <v>1675</v>
      </c>
      <c r="AN1322" s="184" t="s">
        <v>1538</v>
      </c>
      <c r="AO1322" s="184">
        <v>12</v>
      </c>
    </row>
    <row r="1323" spans="36:41" x14ac:dyDescent="0.25">
      <c r="AJ1323" s="184" t="s">
        <v>1656</v>
      </c>
      <c r="AK1323" s="184" t="s">
        <v>83</v>
      </c>
      <c r="AL1323" s="184" t="s">
        <v>1431</v>
      </c>
      <c r="AM1323" s="184" t="s">
        <v>1675</v>
      </c>
      <c r="AN1323" s="184" t="s">
        <v>1538</v>
      </c>
      <c r="AO1323" s="184">
        <v>12</v>
      </c>
    </row>
    <row r="1324" spans="36:41" x14ac:dyDescent="0.25">
      <c r="AJ1324" s="184" t="s">
        <v>1657</v>
      </c>
      <c r="AK1324" s="184" t="s">
        <v>83</v>
      </c>
      <c r="AL1324" s="184" t="s">
        <v>1431</v>
      </c>
      <c r="AM1324" s="184" t="s">
        <v>1675</v>
      </c>
      <c r="AN1324" s="184" t="s">
        <v>1538</v>
      </c>
      <c r="AO1324" s="184">
        <v>12</v>
      </c>
    </row>
    <row r="1325" spans="36:41" x14ac:dyDescent="0.25">
      <c r="AJ1325" s="184" t="s">
        <v>1658</v>
      </c>
      <c r="AK1325" s="184" t="s">
        <v>83</v>
      </c>
      <c r="AL1325" s="184" t="s">
        <v>1431</v>
      </c>
      <c r="AM1325" s="184" t="s">
        <v>1675</v>
      </c>
      <c r="AN1325" s="184" t="s">
        <v>1538</v>
      </c>
      <c r="AO1325" s="184">
        <v>12</v>
      </c>
    </row>
    <row r="1326" spans="36:41" x14ac:dyDescent="0.25">
      <c r="AJ1326" s="184" t="s">
        <v>1659</v>
      </c>
      <c r="AK1326" s="184" t="s">
        <v>83</v>
      </c>
      <c r="AL1326" s="184" t="s">
        <v>1431</v>
      </c>
      <c r="AM1326" s="184" t="s">
        <v>1675</v>
      </c>
      <c r="AN1326" s="184" t="s">
        <v>1538</v>
      </c>
      <c r="AO1326" s="184">
        <v>12</v>
      </c>
    </row>
    <row r="1327" spans="36:41" x14ac:dyDescent="0.25">
      <c r="AJ1327" s="184" t="s">
        <v>1660</v>
      </c>
      <c r="AK1327" s="184" t="s">
        <v>83</v>
      </c>
      <c r="AL1327" s="184" t="s">
        <v>1431</v>
      </c>
      <c r="AM1327" s="184" t="s">
        <v>1675</v>
      </c>
      <c r="AN1327" s="184" t="s">
        <v>1538</v>
      </c>
      <c r="AO1327" s="184">
        <v>12</v>
      </c>
    </row>
    <row r="1328" spans="36:41" x14ac:dyDescent="0.25">
      <c r="AJ1328" s="184" t="s">
        <v>1684</v>
      </c>
      <c r="AK1328" s="184" t="s">
        <v>100</v>
      </c>
      <c r="AL1328" s="184" t="s">
        <v>1431</v>
      </c>
      <c r="AM1328" s="184" t="s">
        <v>1510</v>
      </c>
      <c r="AN1328" s="184" t="s">
        <v>137</v>
      </c>
      <c r="AO1328" s="184">
        <v>12</v>
      </c>
    </row>
    <row r="1329" spans="36:41" x14ac:dyDescent="0.25">
      <c r="AJ1329" s="184" t="s">
        <v>1685</v>
      </c>
      <c r="AK1329" s="184" t="s">
        <v>152</v>
      </c>
      <c r="AL1329" s="184" t="s">
        <v>1431</v>
      </c>
      <c r="AM1329" s="184" t="s">
        <v>1471</v>
      </c>
      <c r="AN1329" s="184" t="s">
        <v>1471</v>
      </c>
      <c r="AO1329" s="184">
        <v>12</v>
      </c>
    </row>
    <row r="1330" spans="36:41" x14ac:dyDescent="0.25">
      <c r="AJ1330" s="184" t="s">
        <v>1686</v>
      </c>
      <c r="AK1330" s="184" t="s">
        <v>152</v>
      </c>
      <c r="AL1330" s="184" t="s">
        <v>1431</v>
      </c>
      <c r="AM1330" s="184" t="s">
        <v>1471</v>
      </c>
      <c r="AN1330" s="184" t="s">
        <v>1471</v>
      </c>
      <c r="AO1330" s="184">
        <v>12</v>
      </c>
    </row>
    <row r="1331" spans="36:41" x14ac:dyDescent="0.25">
      <c r="AJ1331" s="184" t="s">
        <v>1687</v>
      </c>
      <c r="AK1331" s="184" t="s">
        <v>152</v>
      </c>
      <c r="AL1331" s="184" t="s">
        <v>1431</v>
      </c>
      <c r="AM1331" s="184" t="s">
        <v>1471</v>
      </c>
      <c r="AN1331" s="184" t="s">
        <v>1471</v>
      </c>
      <c r="AO1331" s="184">
        <v>12</v>
      </c>
    </row>
    <row r="1332" spans="36:41" x14ac:dyDescent="0.25">
      <c r="AJ1332" s="184" t="s">
        <v>1688</v>
      </c>
      <c r="AK1332" s="184" t="s">
        <v>152</v>
      </c>
      <c r="AL1332" s="184" t="s">
        <v>1431</v>
      </c>
      <c r="AM1332" s="184" t="s">
        <v>1471</v>
      </c>
      <c r="AN1332" s="184" t="s">
        <v>1471</v>
      </c>
      <c r="AO1332" s="184">
        <v>12</v>
      </c>
    </row>
    <row r="1333" spans="36:41" x14ac:dyDescent="0.25">
      <c r="AJ1333" s="184" t="s">
        <v>1689</v>
      </c>
      <c r="AK1333" s="184" t="s">
        <v>152</v>
      </c>
      <c r="AL1333" s="184" t="s">
        <v>1431</v>
      </c>
      <c r="AM1333" s="184" t="s">
        <v>1471</v>
      </c>
      <c r="AN1333" s="184" t="s">
        <v>1471</v>
      </c>
      <c r="AO1333" s="184">
        <v>12</v>
      </c>
    </row>
    <row r="1334" spans="36:41" x14ac:dyDescent="0.25">
      <c r="AJ1334" s="184" t="s">
        <v>1690</v>
      </c>
      <c r="AK1334" s="184" t="s">
        <v>152</v>
      </c>
      <c r="AL1334" s="184" t="s">
        <v>1431</v>
      </c>
      <c r="AM1334" s="184" t="s">
        <v>1471</v>
      </c>
      <c r="AN1334" s="184" t="s">
        <v>1471</v>
      </c>
      <c r="AO1334" s="184">
        <v>12</v>
      </c>
    </row>
    <row r="1335" spans="36:41" x14ac:dyDescent="0.25">
      <c r="AJ1335" s="184" t="s">
        <v>1691</v>
      </c>
      <c r="AK1335" s="184" t="s">
        <v>83</v>
      </c>
      <c r="AL1335" s="184" t="s">
        <v>1431</v>
      </c>
      <c r="AM1335" s="184" t="s">
        <v>1675</v>
      </c>
      <c r="AN1335" s="184" t="s">
        <v>1538</v>
      </c>
      <c r="AO1335" s="184">
        <v>12</v>
      </c>
    </row>
    <row r="1336" spans="36:41" x14ac:dyDescent="0.25">
      <c r="AJ1336" s="184" t="s">
        <v>1692</v>
      </c>
      <c r="AK1336" s="184" t="s">
        <v>1665</v>
      </c>
      <c r="AL1336" s="184" t="s">
        <v>1431</v>
      </c>
      <c r="AM1336" s="184" t="s">
        <v>1675</v>
      </c>
      <c r="AN1336" s="184" t="s">
        <v>1538</v>
      </c>
      <c r="AO1336" s="184">
        <v>12</v>
      </c>
    </row>
    <row r="1337" spans="36:41" x14ac:dyDescent="0.25">
      <c r="AJ1337" s="184" t="s">
        <v>1693</v>
      </c>
      <c r="AK1337" s="184" t="s">
        <v>1665</v>
      </c>
      <c r="AL1337" s="184" t="s">
        <v>1431</v>
      </c>
      <c r="AM1337" s="184" t="s">
        <v>1675</v>
      </c>
      <c r="AN1337" s="184" t="s">
        <v>1538</v>
      </c>
      <c r="AO1337" s="184">
        <v>12</v>
      </c>
    </row>
    <row r="1338" spans="36:41" x14ac:dyDescent="0.25">
      <c r="AJ1338" s="184" t="s">
        <v>1694</v>
      </c>
      <c r="AK1338" s="184" t="s">
        <v>1665</v>
      </c>
      <c r="AL1338" s="184" t="s">
        <v>1431</v>
      </c>
      <c r="AM1338" s="184" t="s">
        <v>1736</v>
      </c>
      <c r="AN1338" s="184" t="s">
        <v>1538</v>
      </c>
      <c r="AO1338" s="184">
        <v>12</v>
      </c>
    </row>
    <row r="1339" spans="36:41" x14ac:dyDescent="0.25">
      <c r="AJ1339" s="184" t="s">
        <v>1695</v>
      </c>
      <c r="AK1339" s="184" t="s">
        <v>1665</v>
      </c>
      <c r="AL1339" s="184" t="s">
        <v>1431</v>
      </c>
      <c r="AM1339" s="184" t="s">
        <v>1736</v>
      </c>
      <c r="AN1339" s="184" t="s">
        <v>1538</v>
      </c>
      <c r="AO1339" s="184">
        <v>12</v>
      </c>
    </row>
    <row r="1340" spans="36:41" x14ac:dyDescent="0.25">
      <c r="AJ1340" s="184" t="s">
        <v>1696</v>
      </c>
      <c r="AK1340" s="184" t="s">
        <v>153</v>
      </c>
      <c r="AL1340" s="184" t="s">
        <v>1431</v>
      </c>
      <c r="AM1340" s="184" t="s">
        <v>1736</v>
      </c>
      <c r="AN1340" s="184" t="s">
        <v>1538</v>
      </c>
      <c r="AO1340" s="184">
        <v>12</v>
      </c>
    </row>
    <row r="1341" spans="36:41" x14ac:dyDescent="0.25">
      <c r="AJ1341" s="184" t="s">
        <v>1697</v>
      </c>
      <c r="AK1341" s="184" t="s">
        <v>153</v>
      </c>
      <c r="AL1341" s="184" t="s">
        <v>1431</v>
      </c>
      <c r="AM1341" s="184" t="s">
        <v>1736</v>
      </c>
      <c r="AN1341" s="184" t="s">
        <v>1538</v>
      </c>
      <c r="AO1341" s="184">
        <v>12</v>
      </c>
    </row>
    <row r="1342" spans="36:41" x14ac:dyDescent="0.25">
      <c r="AJ1342" s="184" t="s">
        <v>1698</v>
      </c>
      <c r="AK1342" s="184" t="s">
        <v>1730</v>
      </c>
      <c r="AL1342" s="184" t="s">
        <v>1431</v>
      </c>
      <c r="AM1342" s="184" t="s">
        <v>1439</v>
      </c>
      <c r="AN1342" s="184" t="s">
        <v>1535</v>
      </c>
      <c r="AO1342" s="184">
        <v>12</v>
      </c>
    </row>
    <row r="1343" spans="36:41" x14ac:dyDescent="0.25">
      <c r="AJ1343" s="184" t="s">
        <v>1699</v>
      </c>
      <c r="AK1343" s="184" t="s">
        <v>1730</v>
      </c>
      <c r="AL1343" s="184" t="s">
        <v>1431</v>
      </c>
      <c r="AM1343" s="184" t="s">
        <v>1439</v>
      </c>
      <c r="AN1343" s="184" t="s">
        <v>1535</v>
      </c>
      <c r="AO1343" s="184">
        <v>12</v>
      </c>
    </row>
    <row r="1344" spans="36:41" x14ac:dyDescent="0.25">
      <c r="AJ1344" s="184" t="s">
        <v>1700</v>
      </c>
      <c r="AK1344" s="184" t="s">
        <v>154</v>
      </c>
      <c r="AL1344" s="184" t="s">
        <v>1431</v>
      </c>
      <c r="AM1344" s="184" t="s">
        <v>1512</v>
      </c>
      <c r="AN1344" s="184" t="s">
        <v>1535</v>
      </c>
      <c r="AO1344" s="184">
        <v>24</v>
      </c>
    </row>
    <row r="1345" spans="36:41" x14ac:dyDescent="0.25">
      <c r="AJ1345" s="184" t="s">
        <v>1701</v>
      </c>
      <c r="AK1345" s="184" t="s">
        <v>1664</v>
      </c>
      <c r="AL1345" s="184" t="s">
        <v>1431</v>
      </c>
      <c r="AM1345" s="184" t="s">
        <v>1439</v>
      </c>
      <c r="AN1345" s="184" t="s">
        <v>1535</v>
      </c>
      <c r="AO1345" s="184">
        <v>12</v>
      </c>
    </row>
    <row r="1346" spans="36:41" x14ac:dyDescent="0.25">
      <c r="AJ1346" s="184" t="s">
        <v>1702</v>
      </c>
      <c r="AK1346" s="184" t="s">
        <v>83</v>
      </c>
      <c r="AL1346" s="184" t="s">
        <v>1431</v>
      </c>
      <c r="AM1346" s="184" t="s">
        <v>1439</v>
      </c>
      <c r="AN1346" s="184" t="s">
        <v>1535</v>
      </c>
      <c r="AO1346" s="184">
        <v>12</v>
      </c>
    </row>
    <row r="1347" spans="36:41" x14ac:dyDescent="0.25">
      <c r="AJ1347" s="184" t="s">
        <v>1703</v>
      </c>
      <c r="AK1347" s="184" t="s">
        <v>83</v>
      </c>
      <c r="AL1347" s="184" t="s">
        <v>1431</v>
      </c>
      <c r="AM1347" s="184" t="s">
        <v>1439</v>
      </c>
      <c r="AN1347" s="184" t="s">
        <v>1535</v>
      </c>
      <c r="AO1347" s="184">
        <v>12</v>
      </c>
    </row>
    <row r="1348" spans="36:41" x14ac:dyDescent="0.25">
      <c r="AJ1348" s="184" t="s">
        <v>1704</v>
      </c>
      <c r="AK1348" s="184" t="s">
        <v>83</v>
      </c>
      <c r="AL1348" s="184" t="s">
        <v>1431</v>
      </c>
      <c r="AM1348" s="184" t="s">
        <v>1439</v>
      </c>
      <c r="AN1348" s="184" t="s">
        <v>1535</v>
      </c>
      <c r="AO1348" s="184">
        <v>12</v>
      </c>
    </row>
    <row r="1349" spans="36:41" x14ac:dyDescent="0.25">
      <c r="AJ1349" s="184" t="s">
        <v>1705</v>
      </c>
      <c r="AK1349" s="184" t="s">
        <v>83</v>
      </c>
      <c r="AL1349" s="184" t="s">
        <v>1431</v>
      </c>
      <c r="AM1349" s="184" t="s">
        <v>1439</v>
      </c>
      <c r="AN1349" s="184" t="s">
        <v>1535</v>
      </c>
      <c r="AO1349" s="184">
        <v>12</v>
      </c>
    </row>
    <row r="1350" spans="36:41" x14ac:dyDescent="0.25">
      <c r="AJ1350" s="184" t="s">
        <v>1706</v>
      </c>
      <c r="AK1350" s="184" t="s">
        <v>83</v>
      </c>
      <c r="AL1350" s="184" t="s">
        <v>1431</v>
      </c>
      <c r="AM1350" s="184" t="s">
        <v>1439</v>
      </c>
      <c r="AN1350" s="184" t="s">
        <v>1535</v>
      </c>
      <c r="AO1350" s="184">
        <v>12</v>
      </c>
    </row>
    <row r="1351" spans="36:41" x14ac:dyDescent="0.25">
      <c r="AJ1351" s="184" t="s">
        <v>1707</v>
      </c>
      <c r="AK1351" s="184" t="s">
        <v>1665</v>
      </c>
      <c r="AL1351" s="184" t="s">
        <v>1431</v>
      </c>
      <c r="AM1351" s="184" t="s">
        <v>1439</v>
      </c>
      <c r="AN1351" s="184" t="s">
        <v>1535</v>
      </c>
      <c r="AO1351" s="184">
        <v>12</v>
      </c>
    </row>
    <row r="1352" spans="36:41" x14ac:dyDescent="0.25">
      <c r="AJ1352" s="184" t="s">
        <v>1708</v>
      </c>
      <c r="AK1352" s="184" t="s">
        <v>1665</v>
      </c>
      <c r="AL1352" s="184" t="s">
        <v>1431</v>
      </c>
      <c r="AM1352" s="184" t="s">
        <v>1439</v>
      </c>
      <c r="AN1352" s="184" t="s">
        <v>1535</v>
      </c>
      <c r="AO1352" s="184">
        <v>12</v>
      </c>
    </row>
    <row r="1353" spans="36:41" x14ac:dyDescent="0.25">
      <c r="AJ1353" s="184" t="s">
        <v>1709</v>
      </c>
      <c r="AK1353" s="184" t="s">
        <v>1665</v>
      </c>
      <c r="AL1353" s="184" t="s">
        <v>1431</v>
      </c>
      <c r="AM1353" s="184" t="s">
        <v>1439</v>
      </c>
      <c r="AN1353" s="184" t="s">
        <v>1535</v>
      </c>
      <c r="AO1353" s="184">
        <v>12</v>
      </c>
    </row>
    <row r="1354" spans="36:41" x14ac:dyDescent="0.25">
      <c r="AJ1354" s="184" t="s">
        <v>1710</v>
      </c>
      <c r="AK1354" s="184" t="s">
        <v>1666</v>
      </c>
      <c r="AL1354" s="184" t="s">
        <v>1431</v>
      </c>
      <c r="AM1354" s="184" t="s">
        <v>1439</v>
      </c>
      <c r="AN1354" s="184" t="s">
        <v>1535</v>
      </c>
      <c r="AO1354" s="184">
        <v>12</v>
      </c>
    </row>
    <row r="1355" spans="36:41" x14ac:dyDescent="0.25">
      <c r="AJ1355" s="184" t="s">
        <v>1711</v>
      </c>
      <c r="AK1355" s="184" t="s">
        <v>1666</v>
      </c>
      <c r="AL1355" s="184" t="s">
        <v>1431</v>
      </c>
      <c r="AM1355" s="184" t="s">
        <v>1439</v>
      </c>
      <c r="AN1355" s="184" t="s">
        <v>1535</v>
      </c>
      <c r="AO1355" s="184">
        <v>12</v>
      </c>
    </row>
    <row r="1356" spans="36:41" x14ac:dyDescent="0.25">
      <c r="AJ1356" s="184" t="s">
        <v>1712</v>
      </c>
      <c r="AK1356" s="184" t="s">
        <v>1731</v>
      </c>
      <c r="AL1356" s="184" t="s">
        <v>1431</v>
      </c>
      <c r="AM1356" s="184" t="s">
        <v>1439</v>
      </c>
      <c r="AN1356" s="184" t="s">
        <v>1535</v>
      </c>
      <c r="AO1356" s="184">
        <v>12</v>
      </c>
    </row>
    <row r="1357" spans="36:41" x14ac:dyDescent="0.25">
      <c r="AJ1357" s="184" t="s">
        <v>1713</v>
      </c>
      <c r="AK1357" s="184" t="s">
        <v>1732</v>
      </c>
      <c r="AL1357" s="184" t="s">
        <v>1431</v>
      </c>
      <c r="AM1357" s="184" t="s">
        <v>1439</v>
      </c>
      <c r="AN1357" s="184" t="s">
        <v>1535</v>
      </c>
      <c r="AO1357" s="184">
        <v>12</v>
      </c>
    </row>
    <row r="1358" spans="36:41" x14ac:dyDescent="0.25">
      <c r="AJ1358" s="184" t="s">
        <v>1714</v>
      </c>
      <c r="AK1358" s="184" t="s">
        <v>1665</v>
      </c>
      <c r="AL1358" s="184" t="s">
        <v>1431</v>
      </c>
      <c r="AM1358" s="184" t="s">
        <v>1439</v>
      </c>
      <c r="AN1358" s="184" t="s">
        <v>1535</v>
      </c>
      <c r="AO1358" s="184">
        <v>12</v>
      </c>
    </row>
    <row r="1359" spans="36:41" x14ac:dyDescent="0.25">
      <c r="AJ1359" s="184" t="s">
        <v>1715</v>
      </c>
      <c r="AK1359" s="184" t="s">
        <v>1665</v>
      </c>
      <c r="AL1359" s="184" t="s">
        <v>1431</v>
      </c>
      <c r="AM1359" s="184" t="s">
        <v>1439</v>
      </c>
      <c r="AN1359" s="184" t="s">
        <v>1535</v>
      </c>
      <c r="AO1359" s="184">
        <v>12</v>
      </c>
    </row>
    <row r="1360" spans="36:41" x14ac:dyDescent="0.25">
      <c r="AJ1360" s="184" t="s">
        <v>1716</v>
      </c>
      <c r="AK1360" s="184" t="s">
        <v>1666</v>
      </c>
      <c r="AL1360" s="184" t="s">
        <v>1431</v>
      </c>
      <c r="AM1360" s="184" t="s">
        <v>1439</v>
      </c>
      <c r="AN1360" s="184" t="s">
        <v>1535</v>
      </c>
      <c r="AO1360" s="184">
        <v>12</v>
      </c>
    </row>
    <row r="1361" spans="36:43" x14ac:dyDescent="0.25">
      <c r="AJ1361" s="184" t="s">
        <v>1717</v>
      </c>
      <c r="AK1361" s="184" t="s">
        <v>1666</v>
      </c>
      <c r="AL1361" s="184" t="s">
        <v>1431</v>
      </c>
      <c r="AM1361" s="184" t="s">
        <v>1439</v>
      </c>
      <c r="AN1361" s="184" t="s">
        <v>1535</v>
      </c>
      <c r="AO1361" s="184">
        <v>12</v>
      </c>
    </row>
    <row r="1362" spans="36:43" x14ac:dyDescent="0.25">
      <c r="AJ1362" s="184" t="s">
        <v>1718</v>
      </c>
      <c r="AK1362" s="184" t="s">
        <v>1665</v>
      </c>
      <c r="AL1362" s="184" t="s">
        <v>1431</v>
      </c>
      <c r="AM1362" s="184" t="s">
        <v>1439</v>
      </c>
      <c r="AN1362" s="184" t="s">
        <v>1535</v>
      </c>
      <c r="AO1362" s="184">
        <v>12</v>
      </c>
    </row>
    <row r="1363" spans="36:43" x14ac:dyDescent="0.25">
      <c r="AJ1363" s="184" t="s">
        <v>1719</v>
      </c>
      <c r="AK1363" s="184" t="s">
        <v>1665</v>
      </c>
      <c r="AL1363" s="184" t="s">
        <v>1431</v>
      </c>
      <c r="AM1363" s="184" t="s">
        <v>1439</v>
      </c>
      <c r="AN1363" s="184" t="s">
        <v>1535</v>
      </c>
      <c r="AO1363" s="184">
        <v>12</v>
      </c>
    </row>
    <row r="1364" spans="36:43" x14ac:dyDescent="0.25">
      <c r="AJ1364" s="184" t="s">
        <v>1720</v>
      </c>
      <c r="AK1364" s="184" t="s">
        <v>153</v>
      </c>
      <c r="AL1364" s="184" t="s">
        <v>1431</v>
      </c>
      <c r="AM1364" s="184" t="s">
        <v>1439</v>
      </c>
      <c r="AN1364" s="184" t="s">
        <v>1535</v>
      </c>
      <c r="AO1364" s="184">
        <v>12</v>
      </c>
    </row>
    <row r="1365" spans="36:43" x14ac:dyDescent="0.25">
      <c r="AJ1365" s="184" t="s">
        <v>1721</v>
      </c>
      <c r="AK1365" s="184" t="s">
        <v>153</v>
      </c>
      <c r="AL1365" s="184" t="s">
        <v>1431</v>
      </c>
      <c r="AM1365" s="184" t="s">
        <v>1439</v>
      </c>
      <c r="AN1365" s="184" t="s">
        <v>1535</v>
      </c>
      <c r="AO1365" s="184">
        <v>12</v>
      </c>
    </row>
    <row r="1366" spans="36:43" x14ac:dyDescent="0.25">
      <c r="AJ1366" s="184" t="s">
        <v>1722</v>
      </c>
      <c r="AK1366" s="184" t="s">
        <v>83</v>
      </c>
      <c r="AL1366" s="184" t="s">
        <v>1431</v>
      </c>
      <c r="AM1366" s="184" t="s">
        <v>1439</v>
      </c>
      <c r="AN1366" s="184" t="s">
        <v>1535</v>
      </c>
      <c r="AO1366" s="184">
        <v>12</v>
      </c>
    </row>
    <row r="1367" spans="36:43" x14ac:dyDescent="0.25">
      <c r="AJ1367" s="184" t="s">
        <v>1723</v>
      </c>
      <c r="AK1367" s="184" t="s">
        <v>83</v>
      </c>
      <c r="AL1367" s="184" t="s">
        <v>1431</v>
      </c>
      <c r="AM1367" s="184" t="s">
        <v>1439</v>
      </c>
      <c r="AN1367" s="184" t="s">
        <v>1535</v>
      </c>
      <c r="AO1367" s="184">
        <v>12</v>
      </c>
    </row>
    <row r="1368" spans="36:43" x14ac:dyDescent="0.25">
      <c r="AJ1368" s="184" t="s">
        <v>1724</v>
      </c>
      <c r="AK1368" s="184" t="s">
        <v>83</v>
      </c>
      <c r="AL1368" s="184" t="s">
        <v>1431</v>
      </c>
      <c r="AM1368" s="184" t="s">
        <v>1439</v>
      </c>
      <c r="AN1368" s="184" t="s">
        <v>1535</v>
      </c>
      <c r="AO1368" s="184">
        <v>12</v>
      </c>
    </row>
    <row r="1369" spans="36:43" x14ac:dyDescent="0.25">
      <c r="AJ1369" s="184" t="s">
        <v>1725</v>
      </c>
      <c r="AK1369" s="184" t="s">
        <v>1665</v>
      </c>
      <c r="AL1369" s="184" t="s">
        <v>1431</v>
      </c>
      <c r="AM1369" s="184" t="s">
        <v>1439</v>
      </c>
      <c r="AN1369" s="184" t="s">
        <v>1535</v>
      </c>
      <c r="AO1369" s="184">
        <v>12</v>
      </c>
    </row>
    <row r="1370" spans="36:43" x14ac:dyDescent="0.25">
      <c r="AJ1370" s="184" t="s">
        <v>1726</v>
      </c>
      <c r="AK1370" s="184" t="s">
        <v>1665</v>
      </c>
      <c r="AL1370" s="184" t="s">
        <v>1431</v>
      </c>
      <c r="AM1370" s="184" t="s">
        <v>1439</v>
      </c>
      <c r="AN1370" s="184" t="s">
        <v>1535</v>
      </c>
      <c r="AO1370" s="184">
        <v>12</v>
      </c>
    </row>
    <row r="1371" spans="36:43" x14ac:dyDescent="0.25">
      <c r="AJ1371" s="184" t="s">
        <v>1727</v>
      </c>
      <c r="AK1371" s="184" t="s">
        <v>1664</v>
      </c>
      <c r="AL1371" s="184" t="s">
        <v>1431</v>
      </c>
      <c r="AM1371" s="184" t="s">
        <v>1439</v>
      </c>
      <c r="AN1371" s="184" t="s">
        <v>1535</v>
      </c>
      <c r="AO1371" s="184">
        <v>12</v>
      </c>
    </row>
    <row r="1372" spans="36:43" x14ac:dyDescent="0.25">
      <c r="AJ1372" s="184" t="s">
        <v>1728</v>
      </c>
      <c r="AK1372" s="184" t="s">
        <v>1666</v>
      </c>
      <c r="AL1372" s="184" t="s">
        <v>1431</v>
      </c>
      <c r="AM1372" s="184" t="s">
        <v>1439</v>
      </c>
      <c r="AN1372" s="184" t="s">
        <v>1535</v>
      </c>
      <c r="AO1372" s="184">
        <v>12</v>
      </c>
    </row>
    <row r="1373" spans="36:43" x14ac:dyDescent="0.25">
      <c r="AJ1373" s="184" t="s">
        <v>1729</v>
      </c>
      <c r="AK1373" s="184" t="s">
        <v>1666</v>
      </c>
      <c r="AL1373" s="184" t="s">
        <v>1431</v>
      </c>
      <c r="AM1373" s="184" t="s">
        <v>1439</v>
      </c>
      <c r="AN1373" s="184" t="s">
        <v>1535</v>
      </c>
      <c r="AO1373" s="184">
        <v>12</v>
      </c>
    </row>
    <row r="1374" spans="36:43" x14ac:dyDescent="0.25">
      <c r="AJ1374" s="184" t="s">
        <v>1737</v>
      </c>
      <c r="AK1374" s="184" t="s">
        <v>1731</v>
      </c>
      <c r="AL1374" s="184" t="s">
        <v>1431</v>
      </c>
      <c r="AM1374" s="184" t="s">
        <v>1439</v>
      </c>
      <c r="AN1374" s="184" t="s">
        <v>1535</v>
      </c>
      <c r="AO1374" s="184">
        <v>12</v>
      </c>
      <c r="AQ1374" s="33">
        <v>12</v>
      </c>
    </row>
    <row r="1375" spans="36:43" x14ac:dyDescent="0.25">
      <c r="AJ1375" s="184" t="s">
        <v>1738</v>
      </c>
      <c r="AK1375" s="184" t="s">
        <v>1731</v>
      </c>
      <c r="AL1375" s="184" t="s">
        <v>1431</v>
      </c>
      <c r="AM1375" s="184" t="s">
        <v>1439</v>
      </c>
      <c r="AN1375" s="184" t="s">
        <v>1535</v>
      </c>
      <c r="AO1375" s="184">
        <v>12</v>
      </c>
      <c r="AQ1375" s="33">
        <v>12</v>
      </c>
    </row>
    <row r="1376" spans="36:43" x14ac:dyDescent="0.25">
      <c r="AJ1376" s="184" t="s">
        <v>1739</v>
      </c>
      <c r="AK1376" s="184" t="s">
        <v>1731</v>
      </c>
      <c r="AL1376" s="184" t="s">
        <v>1431</v>
      </c>
      <c r="AM1376" s="184" t="s">
        <v>1439</v>
      </c>
      <c r="AN1376" s="184" t="s">
        <v>1535</v>
      </c>
      <c r="AO1376" s="184">
        <v>12</v>
      </c>
      <c r="AQ1376" s="33">
        <v>12</v>
      </c>
    </row>
    <row r="1377" spans="36:43" x14ac:dyDescent="0.25">
      <c r="AJ1377" s="184" t="s">
        <v>1740</v>
      </c>
      <c r="AK1377" s="184" t="s">
        <v>134</v>
      </c>
      <c r="AL1377" s="184" t="s">
        <v>1431</v>
      </c>
      <c r="AM1377" s="184" t="s">
        <v>59</v>
      </c>
      <c r="AN1377" s="184" t="s">
        <v>1540</v>
      </c>
      <c r="AO1377" s="184">
        <v>12</v>
      </c>
      <c r="AQ1377" s="33">
        <v>12</v>
      </c>
    </row>
    <row r="1378" spans="36:43" x14ac:dyDescent="0.25">
      <c r="AJ1378" s="184" t="s">
        <v>1741</v>
      </c>
      <c r="AK1378" s="184" t="s">
        <v>153</v>
      </c>
      <c r="AL1378" s="184" t="s">
        <v>1431</v>
      </c>
      <c r="AM1378" s="184" t="s">
        <v>1523</v>
      </c>
      <c r="AN1378" s="184" t="s">
        <v>1538</v>
      </c>
      <c r="AO1378" s="184">
        <v>12</v>
      </c>
      <c r="AQ1378" s="33">
        <v>12</v>
      </c>
    </row>
    <row r="1379" spans="36:43" x14ac:dyDescent="0.25">
      <c r="AJ1379" s="184" t="s">
        <v>1742</v>
      </c>
      <c r="AK1379" s="184" t="s">
        <v>153</v>
      </c>
      <c r="AL1379" s="184" t="s">
        <v>1431</v>
      </c>
      <c r="AM1379" s="184" t="s">
        <v>1523</v>
      </c>
      <c r="AN1379" s="184" t="s">
        <v>1538</v>
      </c>
      <c r="AO1379" s="184">
        <v>12</v>
      </c>
      <c r="AQ1379" s="33">
        <v>12</v>
      </c>
    </row>
    <row r="1380" spans="36:43" x14ac:dyDescent="0.25">
      <c r="AJ1380" s="184" t="s">
        <v>1743</v>
      </c>
      <c r="AK1380" s="184" t="s">
        <v>1420</v>
      </c>
      <c r="AL1380" s="184" t="s">
        <v>1431</v>
      </c>
      <c r="AM1380" s="184" t="s">
        <v>1529</v>
      </c>
      <c r="AN1380" s="184" t="s">
        <v>1538</v>
      </c>
      <c r="AO1380" s="184">
        <v>12</v>
      </c>
      <c r="AQ1380" s="33">
        <v>12</v>
      </c>
    </row>
    <row r="1381" spans="36:43" x14ac:dyDescent="0.25">
      <c r="AJ1381" s="184" t="s">
        <v>1744</v>
      </c>
      <c r="AK1381" s="184" t="s">
        <v>153</v>
      </c>
      <c r="AL1381" s="184" t="s">
        <v>1431</v>
      </c>
      <c r="AM1381" s="184" t="s">
        <v>1797</v>
      </c>
      <c r="AN1381" s="184" t="s">
        <v>1535</v>
      </c>
      <c r="AO1381" s="184">
        <v>12</v>
      </c>
      <c r="AQ1381" s="33">
        <v>12</v>
      </c>
    </row>
    <row r="1382" spans="36:43" x14ac:dyDescent="0.25">
      <c r="AJ1382" s="184" t="s">
        <v>1745</v>
      </c>
      <c r="AK1382" s="184" t="s">
        <v>153</v>
      </c>
      <c r="AL1382" s="184" t="s">
        <v>1431</v>
      </c>
      <c r="AM1382" s="184" t="s">
        <v>1797</v>
      </c>
      <c r="AN1382" s="184" t="s">
        <v>1535</v>
      </c>
      <c r="AO1382" s="184">
        <v>12</v>
      </c>
      <c r="AQ1382" s="33">
        <v>12</v>
      </c>
    </row>
    <row r="1383" spans="36:43" x14ac:dyDescent="0.25">
      <c r="AJ1383" s="184" t="s">
        <v>1746</v>
      </c>
      <c r="AK1383" s="184" t="s">
        <v>1794</v>
      </c>
      <c r="AL1383" s="184" t="s">
        <v>1431</v>
      </c>
      <c r="AM1383" s="184" t="s">
        <v>1496</v>
      </c>
      <c r="AN1383" s="184" t="s">
        <v>1539</v>
      </c>
      <c r="AO1383" s="184">
        <v>12</v>
      </c>
      <c r="AQ1383" s="33">
        <v>12</v>
      </c>
    </row>
    <row r="1384" spans="36:43" x14ac:dyDescent="0.25">
      <c r="AJ1384" s="184" t="s">
        <v>1747</v>
      </c>
      <c r="AK1384" s="184" t="s">
        <v>1407</v>
      </c>
      <c r="AL1384" s="184" t="s">
        <v>1431</v>
      </c>
      <c r="AM1384" s="184" t="s">
        <v>1447</v>
      </c>
      <c r="AN1384" s="184" t="s">
        <v>137</v>
      </c>
      <c r="AO1384" s="184">
        <v>12</v>
      </c>
      <c r="AQ1384" s="33">
        <v>12</v>
      </c>
    </row>
    <row r="1385" spans="36:43" x14ac:dyDescent="0.25">
      <c r="AJ1385" s="184" t="s">
        <v>1748</v>
      </c>
      <c r="AK1385" s="184" t="s">
        <v>1407</v>
      </c>
      <c r="AL1385" s="184" t="s">
        <v>1431</v>
      </c>
      <c r="AM1385" s="184" t="s">
        <v>1444</v>
      </c>
      <c r="AN1385" s="184" t="s">
        <v>137</v>
      </c>
      <c r="AO1385" s="184">
        <v>12</v>
      </c>
      <c r="AQ1385" s="33">
        <v>12</v>
      </c>
    </row>
    <row r="1386" spans="36:43" x14ac:dyDescent="0.25">
      <c r="AJ1386" s="184" t="s">
        <v>1749</v>
      </c>
      <c r="AK1386" s="184" t="s">
        <v>1407</v>
      </c>
      <c r="AL1386" s="184" t="s">
        <v>1431</v>
      </c>
      <c r="AM1386" s="184" t="s">
        <v>1447</v>
      </c>
      <c r="AN1386" s="184" t="s">
        <v>137</v>
      </c>
      <c r="AO1386" s="184">
        <v>12</v>
      </c>
      <c r="AQ1386" s="33">
        <v>12</v>
      </c>
    </row>
    <row r="1387" spans="36:43" x14ac:dyDescent="0.25">
      <c r="AJ1387" s="184" t="s">
        <v>1750</v>
      </c>
      <c r="AK1387" s="184" t="s">
        <v>1407</v>
      </c>
      <c r="AL1387" s="184" t="s">
        <v>1431</v>
      </c>
      <c r="AM1387" s="184" t="s">
        <v>1445</v>
      </c>
      <c r="AN1387" s="184" t="s">
        <v>137</v>
      </c>
      <c r="AO1387" s="184">
        <v>12</v>
      </c>
      <c r="AQ1387" s="33">
        <v>12</v>
      </c>
    </row>
    <row r="1388" spans="36:43" x14ac:dyDescent="0.25">
      <c r="AJ1388" s="184" t="s">
        <v>1751</v>
      </c>
      <c r="AK1388" s="184" t="s">
        <v>1407</v>
      </c>
      <c r="AL1388" s="184" t="s">
        <v>1431</v>
      </c>
      <c r="AM1388" s="184" t="s">
        <v>1448</v>
      </c>
      <c r="AN1388" s="184" t="s">
        <v>137</v>
      </c>
      <c r="AO1388" s="184">
        <v>12</v>
      </c>
      <c r="AQ1388" s="33">
        <v>12</v>
      </c>
    </row>
    <row r="1389" spans="36:43" x14ac:dyDescent="0.25">
      <c r="AJ1389" s="184" t="s">
        <v>1752</v>
      </c>
      <c r="AK1389" s="184" t="s">
        <v>1407</v>
      </c>
      <c r="AL1389" s="184" t="s">
        <v>1431</v>
      </c>
      <c r="AM1389" s="184" t="s">
        <v>1446</v>
      </c>
      <c r="AN1389" s="184" t="s">
        <v>137</v>
      </c>
      <c r="AO1389" s="184">
        <v>12</v>
      </c>
      <c r="AQ1389" s="33">
        <v>12</v>
      </c>
    </row>
    <row r="1390" spans="36:43" x14ac:dyDescent="0.25">
      <c r="AJ1390" s="184" t="s">
        <v>1753</v>
      </c>
      <c r="AK1390" s="184" t="s">
        <v>1407</v>
      </c>
      <c r="AL1390" s="184" t="s">
        <v>1431</v>
      </c>
      <c r="AM1390" s="184" t="s">
        <v>1444</v>
      </c>
      <c r="AN1390" s="184" t="s">
        <v>137</v>
      </c>
      <c r="AO1390" s="184">
        <v>12</v>
      </c>
      <c r="AQ1390" s="33">
        <v>12</v>
      </c>
    </row>
    <row r="1391" spans="36:43" x14ac:dyDescent="0.25">
      <c r="AJ1391" s="184" t="s">
        <v>1754</v>
      </c>
      <c r="AK1391" s="184" t="s">
        <v>1407</v>
      </c>
      <c r="AL1391" s="184" t="s">
        <v>1431</v>
      </c>
      <c r="AM1391" s="184" t="s">
        <v>1447</v>
      </c>
      <c r="AN1391" s="184" t="s">
        <v>137</v>
      </c>
      <c r="AO1391" s="184">
        <v>12</v>
      </c>
      <c r="AQ1391" s="33">
        <v>12</v>
      </c>
    </row>
    <row r="1392" spans="36:43" x14ac:dyDescent="0.25">
      <c r="AJ1392" s="184" t="s">
        <v>1755</v>
      </c>
      <c r="AK1392" s="184" t="s">
        <v>1407</v>
      </c>
      <c r="AL1392" s="184" t="s">
        <v>1431</v>
      </c>
      <c r="AM1392" s="184" t="s">
        <v>1447</v>
      </c>
      <c r="AN1392" s="184" t="s">
        <v>137</v>
      </c>
      <c r="AO1392" s="184">
        <v>12</v>
      </c>
      <c r="AQ1392" s="33">
        <v>12</v>
      </c>
    </row>
    <row r="1393" spans="36:43" x14ac:dyDescent="0.25">
      <c r="AJ1393" s="184" t="s">
        <v>1756</v>
      </c>
      <c r="AK1393" s="184" t="s">
        <v>1407</v>
      </c>
      <c r="AL1393" s="184" t="s">
        <v>1431</v>
      </c>
      <c r="AM1393" s="184" t="s">
        <v>1444</v>
      </c>
      <c r="AN1393" s="184" t="s">
        <v>137</v>
      </c>
      <c r="AO1393" s="184">
        <v>12</v>
      </c>
      <c r="AQ1393" s="33">
        <v>12</v>
      </c>
    </row>
    <row r="1394" spans="36:43" x14ac:dyDescent="0.25">
      <c r="AJ1394" s="184" t="s">
        <v>1757</v>
      </c>
      <c r="AK1394" s="184" t="s">
        <v>1407</v>
      </c>
      <c r="AL1394" s="184" t="s">
        <v>1431</v>
      </c>
      <c r="AM1394" s="184" t="s">
        <v>1444</v>
      </c>
      <c r="AN1394" s="184" t="s">
        <v>137</v>
      </c>
      <c r="AO1394" s="184">
        <v>12</v>
      </c>
      <c r="AQ1394" s="33">
        <v>12</v>
      </c>
    </row>
    <row r="1395" spans="36:43" x14ac:dyDescent="0.25">
      <c r="AJ1395" s="184" t="s">
        <v>1758</v>
      </c>
      <c r="AK1395" s="184" t="s">
        <v>1407</v>
      </c>
      <c r="AL1395" s="184" t="s">
        <v>1431</v>
      </c>
      <c r="AM1395" s="184" t="s">
        <v>1446</v>
      </c>
      <c r="AN1395" s="184" t="s">
        <v>137</v>
      </c>
      <c r="AO1395" s="184">
        <v>12</v>
      </c>
      <c r="AQ1395" s="33">
        <v>12</v>
      </c>
    </row>
    <row r="1396" spans="36:43" x14ac:dyDescent="0.25">
      <c r="AJ1396" s="184" t="s">
        <v>1759</v>
      </c>
      <c r="AK1396" s="184" t="s">
        <v>1407</v>
      </c>
      <c r="AL1396" s="184" t="s">
        <v>1431</v>
      </c>
      <c r="AM1396" s="184" t="s">
        <v>1446</v>
      </c>
      <c r="AN1396" s="184" t="s">
        <v>137</v>
      </c>
      <c r="AO1396" s="184">
        <v>12</v>
      </c>
      <c r="AQ1396" s="33">
        <v>12</v>
      </c>
    </row>
    <row r="1397" spans="36:43" x14ac:dyDescent="0.25">
      <c r="AJ1397" s="184" t="s">
        <v>1760</v>
      </c>
      <c r="AK1397" s="184" t="s">
        <v>1407</v>
      </c>
      <c r="AL1397" s="184" t="s">
        <v>1431</v>
      </c>
      <c r="AM1397" s="184" t="s">
        <v>1444</v>
      </c>
      <c r="AN1397" s="184" t="s">
        <v>137</v>
      </c>
      <c r="AO1397" s="184">
        <v>12</v>
      </c>
      <c r="AQ1397" s="33">
        <v>12</v>
      </c>
    </row>
    <row r="1398" spans="36:43" x14ac:dyDescent="0.25">
      <c r="AJ1398" s="184" t="s">
        <v>1761</v>
      </c>
      <c r="AK1398" s="184" t="s">
        <v>1407</v>
      </c>
      <c r="AL1398" s="184" t="s">
        <v>1431</v>
      </c>
      <c r="AM1398" s="184" t="s">
        <v>1445</v>
      </c>
      <c r="AN1398" s="184" t="s">
        <v>137</v>
      </c>
      <c r="AO1398" s="184">
        <v>12</v>
      </c>
      <c r="AQ1398" s="33">
        <v>12</v>
      </c>
    </row>
    <row r="1399" spans="36:43" x14ac:dyDescent="0.25">
      <c r="AJ1399" s="184" t="s">
        <v>1762</v>
      </c>
      <c r="AK1399" s="184" t="s">
        <v>1407</v>
      </c>
      <c r="AL1399" s="184" t="s">
        <v>1431</v>
      </c>
      <c r="AM1399" s="184" t="s">
        <v>1448</v>
      </c>
      <c r="AN1399" s="184" t="s">
        <v>137</v>
      </c>
      <c r="AO1399" s="184">
        <v>12</v>
      </c>
      <c r="AQ1399" s="33">
        <v>12</v>
      </c>
    </row>
    <row r="1400" spans="36:43" x14ac:dyDescent="0.25">
      <c r="AJ1400" s="184" t="s">
        <v>1763</v>
      </c>
      <c r="AK1400" s="184" t="s">
        <v>152</v>
      </c>
      <c r="AL1400" s="184" t="s">
        <v>1431</v>
      </c>
      <c r="AM1400" s="184" t="s">
        <v>1798</v>
      </c>
      <c r="AN1400" s="184" t="s">
        <v>1538</v>
      </c>
      <c r="AO1400" s="184">
        <v>12</v>
      </c>
      <c r="AQ1400" s="33">
        <v>12</v>
      </c>
    </row>
    <row r="1401" spans="36:43" x14ac:dyDescent="0.25">
      <c r="AJ1401" s="184" t="s">
        <v>1764</v>
      </c>
      <c r="AK1401" s="184" t="s">
        <v>100</v>
      </c>
      <c r="AL1401" s="184" t="s">
        <v>1431</v>
      </c>
      <c r="AM1401" s="184" t="s">
        <v>1485</v>
      </c>
      <c r="AN1401" s="184" t="s">
        <v>1538</v>
      </c>
      <c r="AO1401" s="184">
        <v>12</v>
      </c>
      <c r="AQ1401" s="33">
        <v>12</v>
      </c>
    </row>
    <row r="1402" spans="36:43" x14ac:dyDescent="0.25">
      <c r="AJ1402" s="184" t="s">
        <v>1765</v>
      </c>
      <c r="AK1402" s="184" t="s">
        <v>100</v>
      </c>
      <c r="AL1402" s="184" t="s">
        <v>1431</v>
      </c>
      <c r="AM1402" s="184" t="s">
        <v>1485</v>
      </c>
      <c r="AN1402" s="184" t="s">
        <v>1538</v>
      </c>
      <c r="AO1402" s="184">
        <v>12</v>
      </c>
      <c r="AQ1402" s="33">
        <v>12</v>
      </c>
    </row>
    <row r="1403" spans="36:43" x14ac:dyDescent="0.25">
      <c r="AJ1403" s="184" t="s">
        <v>1766</v>
      </c>
      <c r="AK1403" s="184" t="s">
        <v>1795</v>
      </c>
      <c r="AL1403" s="184" t="s">
        <v>1431</v>
      </c>
      <c r="AM1403" s="184" t="s">
        <v>1484</v>
      </c>
      <c r="AN1403" s="184" t="s">
        <v>99</v>
      </c>
      <c r="AO1403" s="184">
        <v>12</v>
      </c>
      <c r="AQ1403" s="33">
        <v>12</v>
      </c>
    </row>
    <row r="1404" spans="36:43" x14ac:dyDescent="0.25">
      <c r="AJ1404" s="184" t="s">
        <v>1767</v>
      </c>
      <c r="AK1404" s="184" t="s">
        <v>1796</v>
      </c>
      <c r="AL1404" s="184" t="s">
        <v>1431</v>
      </c>
      <c r="AM1404" s="184" t="s">
        <v>1515</v>
      </c>
      <c r="AN1404" s="184" t="s">
        <v>1538</v>
      </c>
      <c r="AO1404" s="184">
        <v>12</v>
      </c>
      <c r="AQ1404" s="33">
        <v>12</v>
      </c>
    </row>
    <row r="1405" spans="36:43" x14ac:dyDescent="0.25">
      <c r="AJ1405" s="184" t="s">
        <v>1768</v>
      </c>
      <c r="AK1405" s="184" t="s">
        <v>1796</v>
      </c>
      <c r="AL1405" s="184" t="s">
        <v>1431</v>
      </c>
      <c r="AM1405" s="184" t="s">
        <v>1515</v>
      </c>
      <c r="AN1405" s="184" t="s">
        <v>1538</v>
      </c>
      <c r="AO1405" s="184">
        <v>12</v>
      </c>
      <c r="AQ1405" s="33">
        <v>12</v>
      </c>
    </row>
    <row r="1406" spans="36:43" x14ac:dyDescent="0.25">
      <c r="AJ1406" s="184" t="s">
        <v>1769</v>
      </c>
      <c r="AK1406" s="184" t="s">
        <v>100</v>
      </c>
      <c r="AL1406" s="184" t="s">
        <v>1431</v>
      </c>
      <c r="AM1406" s="184" t="s">
        <v>1471</v>
      </c>
      <c r="AN1406" s="184" t="s">
        <v>1471</v>
      </c>
      <c r="AO1406" s="184">
        <v>12</v>
      </c>
      <c r="AQ1406" s="33">
        <v>12</v>
      </c>
    </row>
    <row r="1407" spans="36:43" x14ac:dyDescent="0.25">
      <c r="AJ1407" s="184" t="s">
        <v>1770</v>
      </c>
      <c r="AK1407" s="184" t="s">
        <v>100</v>
      </c>
      <c r="AL1407" s="184" t="s">
        <v>1431</v>
      </c>
      <c r="AM1407" s="184" t="s">
        <v>1471</v>
      </c>
      <c r="AN1407" s="184" t="s">
        <v>1471</v>
      </c>
      <c r="AO1407" s="184">
        <v>12</v>
      </c>
      <c r="AQ1407" s="33">
        <v>12</v>
      </c>
    </row>
    <row r="1408" spans="36:43" x14ac:dyDescent="0.25">
      <c r="AJ1408" s="184" t="s">
        <v>1771</v>
      </c>
      <c r="AK1408" s="184" t="s">
        <v>100</v>
      </c>
      <c r="AL1408" s="184" t="s">
        <v>1431</v>
      </c>
      <c r="AM1408" s="184" t="s">
        <v>1471</v>
      </c>
      <c r="AN1408" s="184" t="s">
        <v>1471</v>
      </c>
      <c r="AO1408" s="184">
        <v>12</v>
      </c>
      <c r="AQ1408" s="33">
        <v>12</v>
      </c>
    </row>
    <row r="1409" spans="36:43" x14ac:dyDescent="0.25">
      <c r="AJ1409" s="184" t="s">
        <v>1772</v>
      </c>
      <c r="AK1409" s="184" t="s">
        <v>100</v>
      </c>
      <c r="AL1409" s="184" t="s">
        <v>1431</v>
      </c>
      <c r="AM1409" s="184" t="s">
        <v>1471</v>
      </c>
      <c r="AN1409" s="184" t="s">
        <v>1471</v>
      </c>
      <c r="AO1409" s="184">
        <v>12</v>
      </c>
      <c r="AQ1409" s="33">
        <v>12</v>
      </c>
    </row>
    <row r="1410" spans="36:43" x14ac:dyDescent="0.25">
      <c r="AJ1410" s="184" t="s">
        <v>1773</v>
      </c>
      <c r="AK1410" s="184" t="s">
        <v>100</v>
      </c>
      <c r="AL1410" s="184" t="s">
        <v>1431</v>
      </c>
      <c r="AM1410" s="184" t="s">
        <v>1471</v>
      </c>
      <c r="AN1410" s="184" t="s">
        <v>1471</v>
      </c>
      <c r="AO1410" s="184">
        <v>12</v>
      </c>
      <c r="AQ1410" s="33">
        <v>12</v>
      </c>
    </row>
    <row r="1411" spans="36:43" x14ac:dyDescent="0.25">
      <c r="AJ1411" s="184" t="s">
        <v>1774</v>
      </c>
      <c r="AK1411" s="184" t="s">
        <v>100</v>
      </c>
      <c r="AL1411" s="184" t="s">
        <v>1431</v>
      </c>
      <c r="AM1411" s="184" t="s">
        <v>1471</v>
      </c>
      <c r="AN1411" s="184" t="s">
        <v>1471</v>
      </c>
      <c r="AO1411" s="184">
        <v>12</v>
      </c>
      <c r="AQ1411" s="33">
        <v>12</v>
      </c>
    </row>
    <row r="1412" spans="36:43" x14ac:dyDescent="0.25">
      <c r="AJ1412" s="184" t="s">
        <v>1775</v>
      </c>
      <c r="AK1412" s="184" t="s">
        <v>100</v>
      </c>
      <c r="AL1412" s="184" t="s">
        <v>1431</v>
      </c>
      <c r="AM1412" s="184" t="s">
        <v>1471</v>
      </c>
      <c r="AN1412" s="184" t="s">
        <v>1471</v>
      </c>
      <c r="AO1412" s="184">
        <v>12</v>
      </c>
      <c r="AQ1412" s="33">
        <v>12</v>
      </c>
    </row>
    <row r="1413" spans="36:43" x14ac:dyDescent="0.25">
      <c r="AJ1413" s="184" t="s">
        <v>1776</v>
      </c>
      <c r="AK1413" s="184" t="s">
        <v>100</v>
      </c>
      <c r="AL1413" s="184" t="s">
        <v>1431</v>
      </c>
      <c r="AM1413" s="184" t="s">
        <v>1471</v>
      </c>
      <c r="AN1413" s="184" t="s">
        <v>1471</v>
      </c>
      <c r="AO1413" s="184">
        <v>12</v>
      </c>
      <c r="AQ1413" s="33">
        <v>12</v>
      </c>
    </row>
    <row r="1414" spans="36:43" x14ac:dyDescent="0.25">
      <c r="AJ1414" s="184" t="s">
        <v>1777</v>
      </c>
      <c r="AK1414" s="184" t="s">
        <v>100</v>
      </c>
      <c r="AL1414" s="184" t="s">
        <v>1431</v>
      </c>
      <c r="AM1414" s="184" t="s">
        <v>1471</v>
      </c>
      <c r="AN1414" s="184" t="s">
        <v>1471</v>
      </c>
      <c r="AO1414" s="184">
        <v>12</v>
      </c>
      <c r="AQ1414" s="33">
        <v>12</v>
      </c>
    </row>
    <row r="1415" spans="36:43" x14ac:dyDescent="0.25">
      <c r="AJ1415" s="184" t="s">
        <v>1778</v>
      </c>
      <c r="AK1415" s="184" t="s">
        <v>100</v>
      </c>
      <c r="AL1415" s="184" t="s">
        <v>1431</v>
      </c>
      <c r="AM1415" s="184" t="s">
        <v>1471</v>
      </c>
      <c r="AN1415" s="184" t="s">
        <v>1471</v>
      </c>
      <c r="AO1415" s="184">
        <v>12</v>
      </c>
      <c r="AQ1415" s="33">
        <v>12</v>
      </c>
    </row>
    <row r="1416" spans="36:43" x14ac:dyDescent="0.25">
      <c r="AJ1416" s="184" t="s">
        <v>1779</v>
      </c>
      <c r="AK1416" s="184" t="s">
        <v>100</v>
      </c>
      <c r="AL1416" s="184" t="s">
        <v>1431</v>
      </c>
      <c r="AM1416" s="184" t="s">
        <v>1471</v>
      </c>
      <c r="AN1416" s="184" t="s">
        <v>1471</v>
      </c>
      <c r="AO1416" s="184">
        <v>12</v>
      </c>
      <c r="AQ1416" s="33">
        <v>12</v>
      </c>
    </row>
    <row r="1417" spans="36:43" x14ac:dyDescent="0.25">
      <c r="AJ1417" s="184" t="s">
        <v>1780</v>
      </c>
      <c r="AK1417" s="184" t="s">
        <v>100</v>
      </c>
      <c r="AL1417" s="184" t="s">
        <v>1431</v>
      </c>
      <c r="AM1417" s="184" t="s">
        <v>1471</v>
      </c>
      <c r="AN1417" s="184" t="s">
        <v>1471</v>
      </c>
      <c r="AO1417" s="184">
        <v>12</v>
      </c>
      <c r="AQ1417" s="33">
        <v>12</v>
      </c>
    </row>
    <row r="1418" spans="36:43" x14ac:dyDescent="0.25">
      <c r="AJ1418" s="184" t="s">
        <v>1781</v>
      </c>
      <c r="AK1418" s="184" t="s">
        <v>100</v>
      </c>
      <c r="AL1418" s="184" t="s">
        <v>1431</v>
      </c>
      <c r="AM1418" s="184" t="s">
        <v>1471</v>
      </c>
      <c r="AN1418" s="184" t="s">
        <v>1471</v>
      </c>
      <c r="AO1418" s="184">
        <v>12</v>
      </c>
      <c r="AQ1418" s="33">
        <v>12</v>
      </c>
    </row>
    <row r="1419" spans="36:43" x14ac:dyDescent="0.25">
      <c r="AJ1419" s="184" t="s">
        <v>1782</v>
      </c>
      <c r="AK1419" s="184" t="s">
        <v>100</v>
      </c>
      <c r="AL1419" s="184" t="s">
        <v>1431</v>
      </c>
      <c r="AM1419" s="184" t="s">
        <v>1471</v>
      </c>
      <c r="AN1419" s="184" t="s">
        <v>1471</v>
      </c>
      <c r="AO1419" s="184">
        <v>12</v>
      </c>
      <c r="AQ1419" s="33">
        <v>12</v>
      </c>
    </row>
    <row r="1420" spans="36:43" x14ac:dyDescent="0.25">
      <c r="AJ1420" s="184" t="s">
        <v>1783</v>
      </c>
      <c r="AK1420" s="184" t="s">
        <v>100</v>
      </c>
      <c r="AL1420" s="184" t="s">
        <v>1431</v>
      </c>
      <c r="AM1420" s="184" t="s">
        <v>1471</v>
      </c>
      <c r="AN1420" s="184" t="s">
        <v>1471</v>
      </c>
      <c r="AO1420" s="184">
        <v>12</v>
      </c>
      <c r="AQ1420" s="33">
        <v>12</v>
      </c>
    </row>
    <row r="1421" spans="36:43" x14ac:dyDescent="0.25">
      <c r="AJ1421" s="184" t="s">
        <v>1784</v>
      </c>
      <c r="AK1421" s="184" t="s">
        <v>100</v>
      </c>
      <c r="AL1421" s="184" t="s">
        <v>1431</v>
      </c>
      <c r="AM1421" s="184" t="s">
        <v>1471</v>
      </c>
      <c r="AN1421" s="184" t="s">
        <v>1471</v>
      </c>
      <c r="AO1421" s="184">
        <v>12</v>
      </c>
      <c r="AQ1421" s="33">
        <v>12</v>
      </c>
    </row>
    <row r="1422" spans="36:43" x14ac:dyDescent="0.25">
      <c r="AJ1422" s="184" t="s">
        <v>1785</v>
      </c>
      <c r="AK1422" s="184" t="s">
        <v>100</v>
      </c>
      <c r="AL1422" s="184" t="s">
        <v>1431</v>
      </c>
      <c r="AM1422" s="184" t="s">
        <v>1471</v>
      </c>
      <c r="AN1422" s="184" t="s">
        <v>1471</v>
      </c>
      <c r="AO1422" s="184">
        <v>12</v>
      </c>
      <c r="AQ1422" s="33">
        <v>12</v>
      </c>
    </row>
    <row r="1423" spans="36:43" x14ac:dyDescent="0.25">
      <c r="AJ1423" s="184" t="s">
        <v>1786</v>
      </c>
      <c r="AK1423" s="184" t="s">
        <v>100</v>
      </c>
      <c r="AL1423" s="184" t="s">
        <v>1431</v>
      </c>
      <c r="AM1423" s="184" t="s">
        <v>1471</v>
      </c>
      <c r="AN1423" s="184" t="s">
        <v>1471</v>
      </c>
      <c r="AO1423" s="184">
        <v>12</v>
      </c>
      <c r="AQ1423" s="33">
        <v>12</v>
      </c>
    </row>
    <row r="1424" spans="36:43" x14ac:dyDescent="0.25">
      <c r="AJ1424" s="184" t="s">
        <v>1787</v>
      </c>
      <c r="AK1424" s="184" t="s">
        <v>100</v>
      </c>
      <c r="AL1424" s="184" t="s">
        <v>1431</v>
      </c>
      <c r="AM1424" s="184" t="s">
        <v>1471</v>
      </c>
      <c r="AN1424" s="184" t="s">
        <v>1471</v>
      </c>
      <c r="AO1424" s="184">
        <v>12</v>
      </c>
      <c r="AQ1424" s="33">
        <v>12</v>
      </c>
    </row>
    <row r="1425" spans="36:43" x14ac:dyDescent="0.25">
      <c r="AJ1425" s="184" t="s">
        <v>1788</v>
      </c>
      <c r="AK1425" s="184" t="s">
        <v>100</v>
      </c>
      <c r="AL1425" s="184" t="s">
        <v>1431</v>
      </c>
      <c r="AM1425" s="184" t="s">
        <v>1471</v>
      </c>
      <c r="AN1425" s="184" t="s">
        <v>1471</v>
      </c>
      <c r="AO1425" s="184">
        <v>12</v>
      </c>
      <c r="AQ1425" s="33">
        <v>12</v>
      </c>
    </row>
    <row r="1426" spans="36:43" x14ac:dyDescent="0.25">
      <c r="AJ1426" s="184" t="s">
        <v>1789</v>
      </c>
      <c r="AK1426" s="184" t="s">
        <v>100</v>
      </c>
      <c r="AL1426" s="184" t="s">
        <v>1431</v>
      </c>
      <c r="AM1426" s="184" t="s">
        <v>1471</v>
      </c>
      <c r="AN1426" s="184" t="s">
        <v>1471</v>
      </c>
      <c r="AO1426" s="184">
        <v>12</v>
      </c>
      <c r="AQ1426" s="33">
        <v>12</v>
      </c>
    </row>
    <row r="1427" spans="36:43" x14ac:dyDescent="0.25">
      <c r="AJ1427" s="184" t="s">
        <v>1790</v>
      </c>
      <c r="AK1427" s="184" t="s">
        <v>100</v>
      </c>
      <c r="AL1427" s="184" t="s">
        <v>1431</v>
      </c>
      <c r="AM1427" s="184" t="s">
        <v>1471</v>
      </c>
      <c r="AN1427" s="184" t="s">
        <v>1471</v>
      </c>
      <c r="AO1427" s="184">
        <v>12</v>
      </c>
      <c r="AQ1427" s="33">
        <v>12</v>
      </c>
    </row>
    <row r="1428" spans="36:43" x14ac:dyDescent="0.25">
      <c r="AJ1428" s="184" t="s">
        <v>1791</v>
      </c>
      <c r="AK1428" s="184" t="s">
        <v>100</v>
      </c>
      <c r="AL1428" s="184" t="s">
        <v>1431</v>
      </c>
      <c r="AM1428" s="184" t="s">
        <v>1471</v>
      </c>
      <c r="AN1428" s="184" t="s">
        <v>1471</v>
      </c>
      <c r="AO1428" s="184">
        <v>12</v>
      </c>
      <c r="AQ1428" s="33">
        <v>12</v>
      </c>
    </row>
    <row r="1429" spans="36:43" x14ac:dyDescent="0.25">
      <c r="AJ1429" s="184" t="s">
        <v>1792</v>
      </c>
      <c r="AK1429" s="184" t="s">
        <v>100</v>
      </c>
      <c r="AL1429" s="184" t="s">
        <v>1431</v>
      </c>
      <c r="AM1429" s="184" t="s">
        <v>1471</v>
      </c>
      <c r="AN1429" s="184" t="s">
        <v>1471</v>
      </c>
      <c r="AO1429" s="184">
        <v>12</v>
      </c>
      <c r="AQ1429" s="33">
        <v>12</v>
      </c>
    </row>
    <row r="1430" spans="36:43" x14ac:dyDescent="0.25">
      <c r="AJ1430" s="184" t="s">
        <v>1793</v>
      </c>
      <c r="AK1430" s="184" t="s">
        <v>100</v>
      </c>
      <c r="AL1430" s="184" t="s">
        <v>1431</v>
      </c>
      <c r="AM1430" s="184" t="s">
        <v>1471</v>
      </c>
      <c r="AN1430" s="184" t="s">
        <v>1471</v>
      </c>
      <c r="AO1430" s="184">
        <v>12</v>
      </c>
      <c r="AQ1430" s="33">
        <v>12</v>
      </c>
    </row>
    <row r="1431" spans="36:43" x14ac:dyDescent="0.25">
      <c r="AJ1431" s="184" t="s">
        <v>1799</v>
      </c>
      <c r="AK1431" s="184" t="s">
        <v>100</v>
      </c>
      <c r="AL1431" s="184" t="s">
        <v>1431</v>
      </c>
      <c r="AM1431" s="184" t="s">
        <v>1471</v>
      </c>
      <c r="AN1431" s="184" t="s">
        <v>1471</v>
      </c>
      <c r="AO1431" s="184">
        <v>12</v>
      </c>
    </row>
    <row r="1432" spans="36:43" x14ac:dyDescent="0.25">
      <c r="AJ1432" s="184" t="s">
        <v>1800</v>
      </c>
      <c r="AK1432" s="184" t="s">
        <v>100</v>
      </c>
      <c r="AL1432" s="184" t="s">
        <v>1431</v>
      </c>
      <c r="AM1432" s="184" t="s">
        <v>1471</v>
      </c>
      <c r="AN1432" s="184" t="s">
        <v>1471</v>
      </c>
      <c r="AO1432" s="184">
        <v>12</v>
      </c>
    </row>
    <row r="1433" spans="36:43" x14ac:dyDescent="0.25">
      <c r="AJ1433" s="184" t="s">
        <v>1801</v>
      </c>
      <c r="AK1433" s="184" t="s">
        <v>100</v>
      </c>
      <c r="AL1433" s="184" t="s">
        <v>1431</v>
      </c>
      <c r="AM1433" s="184" t="s">
        <v>1471</v>
      </c>
      <c r="AN1433" s="184" t="s">
        <v>1471</v>
      </c>
      <c r="AO1433" s="184">
        <v>12</v>
      </c>
    </row>
    <row r="1434" spans="36:43" x14ac:dyDescent="0.25">
      <c r="AJ1434" s="184" t="s">
        <v>1802</v>
      </c>
      <c r="AK1434" s="184" t="s">
        <v>100</v>
      </c>
      <c r="AL1434" s="184" t="s">
        <v>1431</v>
      </c>
      <c r="AM1434" s="184" t="s">
        <v>1471</v>
      </c>
      <c r="AN1434" s="184" t="s">
        <v>1471</v>
      </c>
      <c r="AO1434" s="184">
        <v>12</v>
      </c>
    </row>
    <row r="1435" spans="36:43" x14ac:dyDescent="0.25">
      <c r="AJ1435" s="184" t="s">
        <v>1803</v>
      </c>
      <c r="AK1435" s="184" t="s">
        <v>100</v>
      </c>
      <c r="AL1435" s="184" t="s">
        <v>1431</v>
      </c>
      <c r="AM1435" s="184" t="s">
        <v>1471</v>
      </c>
      <c r="AN1435" s="184" t="s">
        <v>1471</v>
      </c>
      <c r="AO1435" s="184">
        <v>12</v>
      </c>
    </row>
    <row r="1436" spans="36:43" x14ac:dyDescent="0.25">
      <c r="AJ1436" s="184" t="s">
        <v>1804</v>
      </c>
      <c r="AK1436" s="184" t="s">
        <v>100</v>
      </c>
      <c r="AL1436" s="184" t="s">
        <v>1431</v>
      </c>
      <c r="AM1436" s="184" t="s">
        <v>1471</v>
      </c>
      <c r="AN1436" s="184" t="s">
        <v>1471</v>
      </c>
      <c r="AO1436" s="184">
        <v>12</v>
      </c>
    </row>
    <row r="1437" spans="36:43" x14ac:dyDescent="0.25">
      <c r="AJ1437" s="184" t="s">
        <v>1805</v>
      </c>
      <c r="AK1437" s="184" t="s">
        <v>100</v>
      </c>
      <c r="AL1437" s="184" t="s">
        <v>1431</v>
      </c>
      <c r="AM1437" s="184" t="s">
        <v>1471</v>
      </c>
      <c r="AN1437" s="184" t="s">
        <v>1471</v>
      </c>
      <c r="AO1437" s="184">
        <v>12</v>
      </c>
    </row>
    <row r="1438" spans="36:43" x14ac:dyDescent="0.25">
      <c r="AJ1438" s="184" t="s">
        <v>1806</v>
      </c>
      <c r="AK1438" s="184" t="s">
        <v>100</v>
      </c>
      <c r="AL1438" s="184" t="s">
        <v>1431</v>
      </c>
      <c r="AM1438" s="184" t="s">
        <v>1471</v>
      </c>
      <c r="AN1438" s="184" t="s">
        <v>1471</v>
      </c>
      <c r="AO1438" s="184">
        <v>12</v>
      </c>
    </row>
    <row r="1439" spans="36:43" x14ac:dyDescent="0.25">
      <c r="AJ1439" s="184" t="s">
        <v>1807</v>
      </c>
      <c r="AK1439" s="184" t="s">
        <v>100</v>
      </c>
      <c r="AL1439" s="184" t="s">
        <v>1431</v>
      </c>
      <c r="AM1439" s="184" t="s">
        <v>1471</v>
      </c>
      <c r="AN1439" s="184" t="s">
        <v>1471</v>
      </c>
      <c r="AO1439" s="184">
        <v>12</v>
      </c>
    </row>
    <row r="1440" spans="36:43" x14ac:dyDescent="0.25">
      <c r="AJ1440" s="184" t="s">
        <v>1808</v>
      </c>
      <c r="AK1440" s="184" t="s">
        <v>100</v>
      </c>
      <c r="AL1440" s="184" t="s">
        <v>1431</v>
      </c>
      <c r="AM1440" s="184" t="s">
        <v>1471</v>
      </c>
      <c r="AN1440" s="184" t="s">
        <v>1471</v>
      </c>
      <c r="AO1440" s="184">
        <v>12</v>
      </c>
    </row>
    <row r="1441" spans="36:41" x14ac:dyDescent="0.25">
      <c r="AJ1441" s="184" t="s">
        <v>1809</v>
      </c>
      <c r="AK1441" s="184" t="s">
        <v>100</v>
      </c>
      <c r="AL1441" s="184" t="s">
        <v>1431</v>
      </c>
      <c r="AM1441" s="184" t="s">
        <v>1471</v>
      </c>
      <c r="AN1441" s="184" t="s">
        <v>1471</v>
      </c>
      <c r="AO1441" s="184">
        <v>12</v>
      </c>
    </row>
    <row r="1442" spans="36:41" x14ac:dyDescent="0.25">
      <c r="AJ1442" s="184" t="s">
        <v>1810</v>
      </c>
      <c r="AK1442" s="184" t="s">
        <v>100</v>
      </c>
      <c r="AL1442" s="184" t="s">
        <v>1431</v>
      </c>
      <c r="AM1442" s="184" t="s">
        <v>1471</v>
      </c>
      <c r="AN1442" s="184" t="s">
        <v>1471</v>
      </c>
      <c r="AO1442" s="184">
        <v>12</v>
      </c>
    </row>
    <row r="1443" spans="36:41" x14ac:dyDescent="0.25">
      <c r="AJ1443" s="184" t="s">
        <v>1811</v>
      </c>
      <c r="AK1443" s="184" t="s">
        <v>100</v>
      </c>
      <c r="AL1443" s="184" t="s">
        <v>1431</v>
      </c>
      <c r="AM1443" s="184" t="s">
        <v>1471</v>
      </c>
      <c r="AN1443" s="184" t="s">
        <v>1471</v>
      </c>
      <c r="AO1443" s="184">
        <v>12</v>
      </c>
    </row>
    <row r="1444" spans="36:41" x14ac:dyDescent="0.25">
      <c r="AJ1444" s="184" t="s">
        <v>1812</v>
      </c>
      <c r="AK1444" s="184" t="s">
        <v>100</v>
      </c>
      <c r="AL1444" s="184" t="s">
        <v>1431</v>
      </c>
      <c r="AM1444" s="184" t="s">
        <v>1471</v>
      </c>
      <c r="AN1444" s="184" t="s">
        <v>1471</v>
      </c>
      <c r="AO1444" s="184">
        <v>12</v>
      </c>
    </row>
    <row r="1445" spans="36:41" x14ac:dyDescent="0.25">
      <c r="AJ1445" s="184" t="s">
        <v>1813</v>
      </c>
      <c r="AK1445" s="184" t="s">
        <v>100</v>
      </c>
      <c r="AL1445" s="184" t="s">
        <v>1431</v>
      </c>
      <c r="AM1445" s="184" t="s">
        <v>1471</v>
      </c>
      <c r="AN1445" s="184" t="s">
        <v>1471</v>
      </c>
      <c r="AO1445" s="184">
        <v>12</v>
      </c>
    </row>
    <row r="1446" spans="36:41" x14ac:dyDescent="0.25">
      <c r="AJ1446" s="184" t="s">
        <v>1814</v>
      </c>
      <c r="AK1446" s="184" t="s">
        <v>100</v>
      </c>
      <c r="AL1446" s="184" t="s">
        <v>1431</v>
      </c>
      <c r="AM1446" s="184" t="s">
        <v>1471</v>
      </c>
      <c r="AN1446" s="184" t="s">
        <v>1471</v>
      </c>
      <c r="AO1446" s="184">
        <v>12</v>
      </c>
    </row>
    <row r="1447" spans="36:41" x14ac:dyDescent="0.25">
      <c r="AJ1447" s="184" t="s">
        <v>1815</v>
      </c>
      <c r="AK1447" s="184" t="s">
        <v>100</v>
      </c>
      <c r="AL1447" s="184" t="s">
        <v>1431</v>
      </c>
      <c r="AM1447" s="184" t="s">
        <v>1471</v>
      </c>
      <c r="AN1447" s="184" t="s">
        <v>1471</v>
      </c>
      <c r="AO1447" s="184">
        <v>12</v>
      </c>
    </row>
    <row r="1448" spans="36:41" x14ac:dyDescent="0.25">
      <c r="AJ1448" s="184" t="s">
        <v>1816</v>
      </c>
      <c r="AK1448" s="184" t="s">
        <v>100</v>
      </c>
      <c r="AL1448" s="184" t="s">
        <v>1431</v>
      </c>
      <c r="AM1448" s="184" t="s">
        <v>1471</v>
      </c>
      <c r="AN1448" s="184" t="s">
        <v>1471</v>
      </c>
      <c r="AO1448" s="184">
        <v>12</v>
      </c>
    </row>
    <row r="1449" spans="36:41" x14ac:dyDescent="0.25">
      <c r="AJ1449" s="184" t="s">
        <v>1817</v>
      </c>
      <c r="AK1449" s="184" t="s">
        <v>100</v>
      </c>
      <c r="AL1449" s="184" t="s">
        <v>1431</v>
      </c>
      <c r="AM1449" s="184" t="s">
        <v>1471</v>
      </c>
      <c r="AN1449" s="184" t="s">
        <v>1471</v>
      </c>
      <c r="AO1449" s="184">
        <v>12</v>
      </c>
    </row>
    <row r="1450" spans="36:41" x14ac:dyDescent="0.25">
      <c r="AJ1450" s="184" t="s">
        <v>1818</v>
      </c>
      <c r="AK1450" s="184" t="s">
        <v>100</v>
      </c>
      <c r="AL1450" s="184" t="s">
        <v>1431</v>
      </c>
      <c r="AM1450" s="184" t="s">
        <v>1471</v>
      </c>
      <c r="AN1450" s="184" t="s">
        <v>1471</v>
      </c>
      <c r="AO1450" s="184">
        <v>12</v>
      </c>
    </row>
    <row r="1451" spans="36:41" x14ac:dyDescent="0.25">
      <c r="AJ1451" s="184" t="s">
        <v>1819</v>
      </c>
      <c r="AK1451" s="184" t="s">
        <v>100</v>
      </c>
      <c r="AL1451" s="184" t="s">
        <v>1431</v>
      </c>
      <c r="AM1451" s="184" t="s">
        <v>1471</v>
      </c>
      <c r="AN1451" s="184" t="s">
        <v>1471</v>
      </c>
      <c r="AO1451" s="184">
        <v>12</v>
      </c>
    </row>
    <row r="1452" spans="36:41" x14ac:dyDescent="0.25">
      <c r="AJ1452" s="184" t="s">
        <v>1820</v>
      </c>
      <c r="AK1452" s="184" t="s">
        <v>100</v>
      </c>
      <c r="AL1452" s="184" t="s">
        <v>1431</v>
      </c>
      <c r="AM1452" s="184" t="s">
        <v>1471</v>
      </c>
      <c r="AN1452" s="184" t="s">
        <v>1471</v>
      </c>
      <c r="AO1452" s="184">
        <v>12</v>
      </c>
    </row>
    <row r="1453" spans="36:41" x14ac:dyDescent="0.25">
      <c r="AJ1453" s="184" t="s">
        <v>1821</v>
      </c>
      <c r="AK1453" s="184" t="s">
        <v>100</v>
      </c>
      <c r="AL1453" s="184" t="s">
        <v>1431</v>
      </c>
      <c r="AM1453" s="184" t="s">
        <v>1471</v>
      </c>
      <c r="AN1453" s="184" t="s">
        <v>1471</v>
      </c>
      <c r="AO1453" s="184">
        <v>12</v>
      </c>
    </row>
    <row r="1454" spans="36:41" x14ac:dyDescent="0.25">
      <c r="AJ1454" s="184" t="s">
        <v>1822</v>
      </c>
      <c r="AK1454" s="184" t="s">
        <v>100</v>
      </c>
      <c r="AL1454" s="184" t="s">
        <v>1431</v>
      </c>
      <c r="AM1454" s="184" t="s">
        <v>1471</v>
      </c>
      <c r="AN1454" s="184" t="s">
        <v>1471</v>
      </c>
      <c r="AO1454" s="184">
        <v>12</v>
      </c>
    </row>
    <row r="1455" spans="36:41" x14ac:dyDescent="0.25">
      <c r="AJ1455" s="184" t="s">
        <v>1823</v>
      </c>
      <c r="AK1455" s="184" t="s">
        <v>100</v>
      </c>
      <c r="AL1455" s="184" t="s">
        <v>1431</v>
      </c>
      <c r="AM1455" s="184" t="s">
        <v>1471</v>
      </c>
      <c r="AN1455" s="184" t="s">
        <v>1471</v>
      </c>
      <c r="AO1455" s="184">
        <v>12</v>
      </c>
    </row>
    <row r="1456" spans="36:41" x14ac:dyDescent="0.25">
      <c r="AJ1456" s="184" t="s">
        <v>1824</v>
      </c>
      <c r="AK1456" s="184" t="s">
        <v>100</v>
      </c>
      <c r="AL1456" s="184" t="s">
        <v>1431</v>
      </c>
      <c r="AM1456" s="184" t="s">
        <v>1471</v>
      </c>
      <c r="AN1456" s="184" t="s">
        <v>1471</v>
      </c>
      <c r="AO1456" s="184">
        <v>12</v>
      </c>
    </row>
    <row r="1457" spans="36:41" x14ac:dyDescent="0.25">
      <c r="AJ1457" s="184" t="s">
        <v>1825</v>
      </c>
      <c r="AK1457" s="184" t="s">
        <v>100</v>
      </c>
      <c r="AL1457" s="184" t="s">
        <v>1431</v>
      </c>
      <c r="AM1457" s="184" t="s">
        <v>1471</v>
      </c>
      <c r="AN1457" s="184" t="s">
        <v>1471</v>
      </c>
      <c r="AO1457" s="184">
        <v>12</v>
      </c>
    </row>
    <row r="1458" spans="36:41" x14ac:dyDescent="0.25">
      <c r="AJ1458" s="184" t="s">
        <v>1826</v>
      </c>
      <c r="AK1458" s="184" t="s">
        <v>100</v>
      </c>
      <c r="AL1458" s="184" t="s">
        <v>1431</v>
      </c>
      <c r="AM1458" s="184" t="s">
        <v>1471</v>
      </c>
      <c r="AN1458" s="184" t="s">
        <v>1471</v>
      </c>
      <c r="AO1458" s="184">
        <v>12</v>
      </c>
    </row>
    <row r="1459" spans="36:41" x14ac:dyDescent="0.25">
      <c r="AJ1459" s="184" t="s">
        <v>1827</v>
      </c>
      <c r="AK1459" s="184" t="s">
        <v>100</v>
      </c>
      <c r="AL1459" s="184" t="s">
        <v>1431</v>
      </c>
      <c r="AM1459" s="184" t="s">
        <v>1471</v>
      </c>
      <c r="AN1459" s="184" t="s">
        <v>1471</v>
      </c>
      <c r="AO1459" s="184">
        <v>12</v>
      </c>
    </row>
    <row r="1460" spans="36:41" x14ac:dyDescent="0.25">
      <c r="AJ1460" s="184" t="s">
        <v>1828</v>
      </c>
      <c r="AK1460" s="184" t="s">
        <v>83</v>
      </c>
      <c r="AL1460" s="184" t="s">
        <v>1431</v>
      </c>
      <c r="AM1460" s="184" t="s">
        <v>1439</v>
      </c>
      <c r="AN1460" s="184" t="s">
        <v>1538</v>
      </c>
      <c r="AO1460" s="184">
        <v>12</v>
      </c>
    </row>
    <row r="1461" spans="36:41" x14ac:dyDescent="0.25">
      <c r="AJ1461" s="184" t="s">
        <v>1829</v>
      </c>
      <c r="AK1461" s="184" t="s">
        <v>83</v>
      </c>
      <c r="AL1461" s="184" t="s">
        <v>1431</v>
      </c>
      <c r="AM1461" s="184" t="s">
        <v>1439</v>
      </c>
      <c r="AN1461" s="184" t="s">
        <v>1538</v>
      </c>
      <c r="AO1461" s="184">
        <v>12</v>
      </c>
    </row>
    <row r="1462" spans="36:41" x14ac:dyDescent="0.25">
      <c r="AJ1462" s="184" t="s">
        <v>1832</v>
      </c>
      <c r="AK1462" s="184" t="s">
        <v>146</v>
      </c>
      <c r="AL1462" s="184" t="s">
        <v>1431</v>
      </c>
      <c r="AM1462" s="184" t="s">
        <v>1437</v>
      </c>
      <c r="AN1462" s="184" t="s">
        <v>1535</v>
      </c>
      <c r="AO1462" s="184">
        <v>12</v>
      </c>
    </row>
    <row r="1463" spans="36:41" x14ac:dyDescent="0.25">
      <c r="AJ1463" s="184" t="s">
        <v>1833</v>
      </c>
      <c r="AK1463" s="184" t="s">
        <v>1396</v>
      </c>
      <c r="AL1463" s="184" t="s">
        <v>1431</v>
      </c>
      <c r="AM1463" s="184" t="s">
        <v>1532</v>
      </c>
      <c r="AN1463" s="184" t="s">
        <v>1538</v>
      </c>
      <c r="AO1463" s="184">
        <v>12</v>
      </c>
    </row>
    <row r="1464" spans="36:41" x14ac:dyDescent="0.25">
      <c r="AJ1464" s="184" t="s">
        <v>1834</v>
      </c>
      <c r="AK1464" s="184" t="s">
        <v>146</v>
      </c>
      <c r="AL1464" s="184" t="s">
        <v>1431</v>
      </c>
      <c r="AM1464" s="184" t="s">
        <v>1437</v>
      </c>
      <c r="AN1464" s="184" t="s">
        <v>1535</v>
      </c>
      <c r="AO1464" s="184">
        <v>12</v>
      </c>
    </row>
    <row r="1465" spans="36:41" x14ac:dyDescent="0.25">
      <c r="AJ1465" s="184" t="s">
        <v>1835</v>
      </c>
      <c r="AK1465" s="184" t="s">
        <v>156</v>
      </c>
      <c r="AL1465" s="184" t="s">
        <v>1431</v>
      </c>
      <c r="AM1465" s="184" t="s">
        <v>59</v>
      </c>
      <c r="AN1465" s="184" t="s">
        <v>1537</v>
      </c>
      <c r="AO1465" s="184">
        <v>12</v>
      </c>
    </row>
    <row r="1466" spans="36:41" x14ac:dyDescent="0.25">
      <c r="AJ1466" s="184" t="s">
        <v>1836</v>
      </c>
      <c r="AK1466" s="184" t="s">
        <v>156</v>
      </c>
      <c r="AL1466" s="184" t="s">
        <v>1431</v>
      </c>
      <c r="AM1466" s="184" t="s">
        <v>59</v>
      </c>
      <c r="AN1466" s="184" t="s">
        <v>1537</v>
      </c>
      <c r="AO1466" s="184">
        <v>12</v>
      </c>
    </row>
    <row r="1467" spans="36:41" x14ac:dyDescent="0.25">
      <c r="AJ1467" s="184" t="s">
        <v>1837</v>
      </c>
      <c r="AK1467" s="184" t="s">
        <v>156</v>
      </c>
      <c r="AL1467" s="184" t="s">
        <v>1431</v>
      </c>
      <c r="AM1467" s="184" t="s">
        <v>59</v>
      </c>
      <c r="AN1467" s="184" t="s">
        <v>1537</v>
      </c>
      <c r="AO1467" s="184">
        <v>12</v>
      </c>
    </row>
    <row r="1468" spans="36:41" x14ac:dyDescent="0.25">
      <c r="AJ1468" s="184" t="s">
        <v>1838</v>
      </c>
      <c r="AK1468" s="184" t="s">
        <v>83</v>
      </c>
      <c r="AL1468" s="184" t="s">
        <v>1431</v>
      </c>
      <c r="AM1468" s="184" t="s">
        <v>1453</v>
      </c>
      <c r="AN1468" s="184" t="s">
        <v>137</v>
      </c>
      <c r="AO1468" s="184">
        <v>12</v>
      </c>
    </row>
    <row r="1469" spans="36:41" x14ac:dyDescent="0.25">
      <c r="AJ1469" s="184" t="s">
        <v>1839</v>
      </c>
      <c r="AK1469" s="184" t="s">
        <v>134</v>
      </c>
      <c r="AL1469" s="184" t="s">
        <v>1431</v>
      </c>
      <c r="AM1469" s="184" t="s">
        <v>1515</v>
      </c>
      <c r="AN1469" s="184" t="s">
        <v>1538</v>
      </c>
      <c r="AO1469" s="184">
        <v>12</v>
      </c>
    </row>
    <row r="1470" spans="36:41" x14ac:dyDescent="0.25">
      <c r="AJ1470" s="184" t="s">
        <v>1840</v>
      </c>
      <c r="AK1470" s="184" t="s">
        <v>134</v>
      </c>
      <c r="AL1470" s="184" t="s">
        <v>1431</v>
      </c>
      <c r="AM1470" s="184" t="s">
        <v>1515</v>
      </c>
      <c r="AN1470" s="184" t="s">
        <v>1538</v>
      </c>
      <c r="AO1470" s="184">
        <v>12</v>
      </c>
    </row>
    <row r="1471" spans="36:41" x14ac:dyDescent="0.25">
      <c r="AJ1471" s="184" t="s">
        <v>1841</v>
      </c>
      <c r="AK1471" s="184" t="s">
        <v>1425</v>
      </c>
      <c r="AL1471" s="184" t="s">
        <v>1431</v>
      </c>
      <c r="AM1471" s="184" t="s">
        <v>1437</v>
      </c>
      <c r="AN1471" s="184" t="s">
        <v>1535</v>
      </c>
      <c r="AO1471" s="184">
        <v>12</v>
      </c>
    </row>
    <row r="1472" spans="36:41" x14ac:dyDescent="0.25">
      <c r="AJ1472" s="184" t="s">
        <v>1842</v>
      </c>
      <c r="AK1472" s="184" t="s">
        <v>153</v>
      </c>
      <c r="AL1472" s="184" t="s">
        <v>1431</v>
      </c>
      <c r="AM1472" s="184" t="s">
        <v>1485</v>
      </c>
      <c r="AN1472" s="184" t="s">
        <v>1538</v>
      </c>
      <c r="AO1472" s="184">
        <v>12</v>
      </c>
    </row>
    <row r="1473" spans="36:41" x14ac:dyDescent="0.25">
      <c r="AJ1473" s="184" t="s">
        <v>1843</v>
      </c>
      <c r="AK1473" s="184" t="s">
        <v>156</v>
      </c>
      <c r="AL1473" s="184" t="s">
        <v>1431</v>
      </c>
      <c r="AM1473" s="184" t="s">
        <v>1471</v>
      </c>
      <c r="AN1473" s="184" t="s">
        <v>1471</v>
      </c>
      <c r="AO1473" s="184">
        <v>12</v>
      </c>
    </row>
    <row r="1474" spans="36:41" x14ac:dyDescent="0.25">
      <c r="AJ1474" s="184" t="s">
        <v>1844</v>
      </c>
      <c r="AK1474" s="184" t="s">
        <v>156</v>
      </c>
      <c r="AL1474" s="184" t="s">
        <v>1431</v>
      </c>
      <c r="AM1474" s="184" t="s">
        <v>1471</v>
      </c>
      <c r="AN1474" s="184" t="s">
        <v>1471</v>
      </c>
      <c r="AO1474" s="184">
        <v>12</v>
      </c>
    </row>
    <row r="1475" spans="36:41" x14ac:dyDescent="0.25">
      <c r="AJ1475" s="184" t="s">
        <v>1845</v>
      </c>
      <c r="AK1475" s="184" t="s">
        <v>156</v>
      </c>
      <c r="AL1475" s="184" t="s">
        <v>1431</v>
      </c>
      <c r="AM1475" s="184" t="s">
        <v>1471</v>
      </c>
      <c r="AN1475" s="184" t="s">
        <v>1471</v>
      </c>
      <c r="AO1475" s="184">
        <v>12</v>
      </c>
    </row>
    <row r="1476" spans="36:41" x14ac:dyDescent="0.25">
      <c r="AJ1476" s="184" t="s">
        <v>1846</v>
      </c>
      <c r="AK1476" s="184" t="s">
        <v>156</v>
      </c>
      <c r="AL1476" s="184" t="s">
        <v>1431</v>
      </c>
      <c r="AM1476" s="184" t="s">
        <v>1471</v>
      </c>
      <c r="AN1476" s="184" t="s">
        <v>1471</v>
      </c>
      <c r="AO1476" s="184">
        <v>12</v>
      </c>
    </row>
    <row r="1477" spans="36:41" x14ac:dyDescent="0.25">
      <c r="AJ1477" s="184" t="s">
        <v>1847</v>
      </c>
      <c r="AK1477" s="184" t="s">
        <v>156</v>
      </c>
      <c r="AL1477" s="184" t="s">
        <v>1431</v>
      </c>
      <c r="AM1477" s="184" t="s">
        <v>1471</v>
      </c>
      <c r="AN1477" s="184" t="s">
        <v>1471</v>
      </c>
      <c r="AO1477" s="184">
        <v>12</v>
      </c>
    </row>
    <row r="1478" spans="36:41" x14ac:dyDescent="0.25">
      <c r="AJ1478" s="184" t="s">
        <v>1848</v>
      </c>
      <c r="AK1478" s="184" t="s">
        <v>156</v>
      </c>
      <c r="AL1478" s="184" t="s">
        <v>1431</v>
      </c>
      <c r="AM1478" s="184" t="s">
        <v>1471</v>
      </c>
      <c r="AN1478" s="184" t="s">
        <v>1471</v>
      </c>
      <c r="AO1478" s="184">
        <v>12</v>
      </c>
    </row>
    <row r="1479" spans="36:41" x14ac:dyDescent="0.25">
      <c r="AJ1479" s="184" t="s">
        <v>1849</v>
      </c>
      <c r="AK1479" s="184" t="s">
        <v>156</v>
      </c>
      <c r="AL1479" s="184" t="s">
        <v>1431</v>
      </c>
      <c r="AM1479" s="184" t="s">
        <v>1471</v>
      </c>
      <c r="AN1479" s="184" t="s">
        <v>1471</v>
      </c>
      <c r="AO1479" s="184">
        <v>12</v>
      </c>
    </row>
    <row r="1480" spans="36:41" x14ac:dyDescent="0.25">
      <c r="AJ1480" s="184" t="s">
        <v>1850</v>
      </c>
      <c r="AK1480" s="184" t="s">
        <v>156</v>
      </c>
      <c r="AL1480" s="184" t="s">
        <v>1431</v>
      </c>
      <c r="AM1480" s="184" t="s">
        <v>1471</v>
      </c>
      <c r="AN1480" s="184" t="s">
        <v>1471</v>
      </c>
      <c r="AO1480" s="184">
        <v>12</v>
      </c>
    </row>
    <row r="1481" spans="36:41" x14ac:dyDescent="0.25">
      <c r="AJ1481" s="184" t="s">
        <v>1851</v>
      </c>
      <c r="AK1481" s="184" t="s">
        <v>156</v>
      </c>
      <c r="AL1481" s="184" t="s">
        <v>1431</v>
      </c>
      <c r="AM1481" s="184" t="s">
        <v>1471</v>
      </c>
      <c r="AN1481" s="184" t="s">
        <v>1471</v>
      </c>
      <c r="AO1481" s="184">
        <v>12</v>
      </c>
    </row>
    <row r="1482" spans="36:41" x14ac:dyDescent="0.25">
      <c r="AJ1482" s="184" t="s">
        <v>1852</v>
      </c>
      <c r="AK1482" s="184" t="s">
        <v>156</v>
      </c>
      <c r="AL1482" s="184" t="s">
        <v>1431</v>
      </c>
      <c r="AM1482" s="184" t="s">
        <v>1471</v>
      </c>
      <c r="AN1482" s="184" t="s">
        <v>1471</v>
      </c>
      <c r="AO1482" s="184">
        <v>12</v>
      </c>
    </row>
    <row r="1483" spans="36:41" x14ac:dyDescent="0.25">
      <c r="AJ1483" s="184" t="s">
        <v>1853</v>
      </c>
      <c r="AK1483" s="184" t="s">
        <v>156</v>
      </c>
      <c r="AL1483" s="184" t="s">
        <v>1431</v>
      </c>
      <c r="AM1483" s="184" t="s">
        <v>1471</v>
      </c>
      <c r="AN1483" s="184" t="s">
        <v>1471</v>
      </c>
      <c r="AO1483" s="184">
        <v>12</v>
      </c>
    </row>
    <row r="1484" spans="36:41" x14ac:dyDescent="0.25">
      <c r="AJ1484" s="184" t="s">
        <v>1854</v>
      </c>
      <c r="AK1484" s="184" t="s">
        <v>156</v>
      </c>
      <c r="AL1484" s="184" t="s">
        <v>1431</v>
      </c>
      <c r="AM1484" s="184" t="s">
        <v>1471</v>
      </c>
      <c r="AN1484" s="184" t="s">
        <v>1471</v>
      </c>
      <c r="AO1484" s="184">
        <v>12</v>
      </c>
    </row>
    <row r="1485" spans="36:41" x14ac:dyDescent="0.25">
      <c r="AJ1485" s="184" t="s">
        <v>1855</v>
      </c>
      <c r="AK1485" s="184" t="s">
        <v>156</v>
      </c>
      <c r="AL1485" s="184" t="s">
        <v>1431</v>
      </c>
      <c r="AM1485" s="184" t="s">
        <v>1471</v>
      </c>
      <c r="AN1485" s="184" t="s">
        <v>1471</v>
      </c>
      <c r="AO1485" s="184">
        <v>12</v>
      </c>
    </row>
    <row r="1486" spans="36:41" x14ac:dyDescent="0.25">
      <c r="AJ1486" s="184" t="s">
        <v>1856</v>
      </c>
      <c r="AK1486" s="184" t="s">
        <v>156</v>
      </c>
      <c r="AL1486" s="184" t="s">
        <v>1431</v>
      </c>
      <c r="AM1486" s="184" t="s">
        <v>1471</v>
      </c>
      <c r="AN1486" s="184" t="s">
        <v>1471</v>
      </c>
      <c r="AO1486" s="184">
        <v>12</v>
      </c>
    </row>
    <row r="1487" spans="36:41" x14ac:dyDescent="0.25">
      <c r="AJ1487" s="184" t="s">
        <v>1857</v>
      </c>
      <c r="AK1487" s="184" t="s">
        <v>156</v>
      </c>
      <c r="AL1487" s="184" t="s">
        <v>1431</v>
      </c>
      <c r="AM1487" s="184" t="s">
        <v>1471</v>
      </c>
      <c r="AN1487" s="184" t="s">
        <v>1471</v>
      </c>
      <c r="AO1487" s="184">
        <v>12</v>
      </c>
    </row>
    <row r="1488" spans="36:41" x14ac:dyDescent="0.25">
      <c r="AJ1488" s="184" t="s">
        <v>1858</v>
      </c>
      <c r="AK1488" s="184" t="s">
        <v>156</v>
      </c>
      <c r="AL1488" s="184" t="s">
        <v>1431</v>
      </c>
      <c r="AM1488" s="184" t="s">
        <v>1471</v>
      </c>
      <c r="AN1488" s="184" t="s">
        <v>1471</v>
      </c>
      <c r="AO1488" s="184">
        <v>12</v>
      </c>
    </row>
    <row r="1489" spans="36:41" x14ac:dyDescent="0.25">
      <c r="AJ1489" s="184" t="s">
        <v>1859</v>
      </c>
      <c r="AK1489" s="184" t="s">
        <v>156</v>
      </c>
      <c r="AL1489" s="184" t="s">
        <v>1431</v>
      </c>
      <c r="AM1489" s="184" t="s">
        <v>1471</v>
      </c>
      <c r="AN1489" s="184" t="s">
        <v>1471</v>
      </c>
      <c r="AO1489" s="184">
        <v>12</v>
      </c>
    </row>
    <row r="1490" spans="36:41" x14ac:dyDescent="0.25">
      <c r="AJ1490" s="184" t="s">
        <v>1860</v>
      </c>
      <c r="AK1490" s="184" t="s">
        <v>156</v>
      </c>
      <c r="AL1490" s="184" t="s">
        <v>1431</v>
      </c>
      <c r="AM1490" s="184" t="s">
        <v>1471</v>
      </c>
      <c r="AN1490" s="184" t="s">
        <v>1471</v>
      </c>
      <c r="AO1490" s="184">
        <v>12</v>
      </c>
    </row>
    <row r="1491" spans="36:41" x14ac:dyDescent="0.25">
      <c r="AJ1491" s="184" t="s">
        <v>1861</v>
      </c>
      <c r="AK1491" s="184" t="s">
        <v>156</v>
      </c>
      <c r="AL1491" s="184" t="s">
        <v>1431</v>
      </c>
      <c r="AM1491" s="184" t="s">
        <v>1471</v>
      </c>
      <c r="AN1491" s="184" t="s">
        <v>1471</v>
      </c>
      <c r="AO1491" s="184">
        <v>12</v>
      </c>
    </row>
    <row r="1492" spans="36:41" x14ac:dyDescent="0.25">
      <c r="AJ1492" s="184" t="s">
        <v>1862</v>
      </c>
      <c r="AK1492" s="184" t="s">
        <v>156</v>
      </c>
      <c r="AL1492" s="184" t="s">
        <v>1431</v>
      </c>
      <c r="AM1492" s="184" t="s">
        <v>1471</v>
      </c>
      <c r="AN1492" s="184" t="s">
        <v>1471</v>
      </c>
      <c r="AO1492" s="184">
        <v>12</v>
      </c>
    </row>
    <row r="1493" spans="36:41" x14ac:dyDescent="0.25">
      <c r="AJ1493" s="184" t="s">
        <v>1863</v>
      </c>
      <c r="AK1493" s="184" t="s">
        <v>156</v>
      </c>
      <c r="AL1493" s="184" t="s">
        <v>1431</v>
      </c>
      <c r="AM1493" s="184" t="s">
        <v>1471</v>
      </c>
      <c r="AN1493" s="184" t="s">
        <v>1471</v>
      </c>
      <c r="AO1493" s="184">
        <v>12</v>
      </c>
    </row>
    <row r="1494" spans="36:41" x14ac:dyDescent="0.25">
      <c r="AJ1494" s="184" t="s">
        <v>1864</v>
      </c>
      <c r="AK1494" s="184" t="s">
        <v>156</v>
      </c>
      <c r="AL1494" s="184" t="s">
        <v>1431</v>
      </c>
      <c r="AM1494" s="184" t="s">
        <v>1471</v>
      </c>
      <c r="AN1494" s="184" t="s">
        <v>1471</v>
      </c>
      <c r="AO1494" s="184">
        <v>12</v>
      </c>
    </row>
    <row r="1495" spans="36:41" x14ac:dyDescent="0.25">
      <c r="AJ1495" s="184" t="s">
        <v>1865</v>
      </c>
      <c r="AK1495" s="184" t="s">
        <v>156</v>
      </c>
      <c r="AL1495" s="184" t="s">
        <v>1431</v>
      </c>
      <c r="AM1495" s="184" t="s">
        <v>1471</v>
      </c>
      <c r="AN1495" s="184" t="s">
        <v>1471</v>
      </c>
      <c r="AO1495" s="184">
        <v>12</v>
      </c>
    </row>
    <row r="1496" spans="36:41" x14ac:dyDescent="0.25">
      <c r="AJ1496" s="184" t="s">
        <v>1866</v>
      </c>
      <c r="AK1496" s="184" t="s">
        <v>156</v>
      </c>
      <c r="AL1496" s="184" t="s">
        <v>1431</v>
      </c>
      <c r="AM1496" s="184" t="s">
        <v>1471</v>
      </c>
      <c r="AN1496" s="184" t="s">
        <v>1471</v>
      </c>
      <c r="AO1496" s="184">
        <v>12</v>
      </c>
    </row>
    <row r="1497" spans="36:41" x14ac:dyDescent="0.25">
      <c r="AJ1497" s="184" t="s">
        <v>1867</v>
      </c>
      <c r="AK1497" s="184" t="s">
        <v>156</v>
      </c>
      <c r="AL1497" s="184" t="s">
        <v>1431</v>
      </c>
      <c r="AM1497" s="184" t="s">
        <v>1471</v>
      </c>
      <c r="AN1497" s="184" t="s">
        <v>1471</v>
      </c>
      <c r="AO1497" s="184">
        <v>12</v>
      </c>
    </row>
    <row r="1498" spans="36:41" x14ac:dyDescent="0.25">
      <c r="AJ1498" s="184" t="s">
        <v>1868</v>
      </c>
      <c r="AK1498" s="184" t="s">
        <v>1401</v>
      </c>
      <c r="AL1498" s="184" t="s">
        <v>1430</v>
      </c>
      <c r="AM1498" s="184" t="s">
        <v>1444</v>
      </c>
      <c r="AN1498" s="184" t="s">
        <v>1540</v>
      </c>
      <c r="AO1498" s="184">
        <v>12</v>
      </c>
    </row>
    <row r="1499" spans="36:41" x14ac:dyDescent="0.25">
      <c r="AJ1499" s="184" t="s">
        <v>1869</v>
      </c>
      <c r="AK1499" s="184" t="s">
        <v>134</v>
      </c>
      <c r="AL1499" s="184" t="s">
        <v>1431</v>
      </c>
      <c r="AM1499" s="184" t="s">
        <v>1515</v>
      </c>
      <c r="AN1499" s="184" t="s">
        <v>1538</v>
      </c>
      <c r="AO1499" s="184">
        <v>12</v>
      </c>
    </row>
    <row r="1500" spans="36:41" x14ac:dyDescent="0.25">
      <c r="AJ1500" s="184" t="s">
        <v>1870</v>
      </c>
      <c r="AK1500" s="184" t="s">
        <v>134</v>
      </c>
      <c r="AL1500" s="184" t="s">
        <v>1431</v>
      </c>
      <c r="AM1500" s="184" t="s">
        <v>1515</v>
      </c>
      <c r="AN1500" s="184" t="s">
        <v>1538</v>
      </c>
      <c r="AO1500" s="184">
        <v>12</v>
      </c>
    </row>
    <row r="1501" spans="36:41" x14ac:dyDescent="0.25">
      <c r="AJ1501" s="184" t="s">
        <v>1871</v>
      </c>
      <c r="AK1501" s="184" t="s">
        <v>100</v>
      </c>
      <c r="AL1501" s="184" t="s">
        <v>1431</v>
      </c>
      <c r="AM1501" s="184" t="s">
        <v>1471</v>
      </c>
      <c r="AN1501" s="184" t="s">
        <v>1471</v>
      </c>
      <c r="AO1501" s="184">
        <v>12</v>
      </c>
    </row>
    <row r="1502" spans="36:41" x14ac:dyDescent="0.25">
      <c r="AJ1502" s="184" t="s">
        <v>1872</v>
      </c>
      <c r="AK1502" s="184" t="s">
        <v>100</v>
      </c>
      <c r="AL1502" s="184" t="s">
        <v>1431</v>
      </c>
      <c r="AM1502" s="184" t="s">
        <v>1471</v>
      </c>
      <c r="AN1502" s="184" t="s">
        <v>1471</v>
      </c>
      <c r="AO1502" s="184">
        <v>12</v>
      </c>
    </row>
    <row r="1503" spans="36:41" x14ac:dyDescent="0.25">
      <c r="AJ1503" s="184" t="s">
        <v>1873</v>
      </c>
      <c r="AK1503" s="184" t="s">
        <v>100</v>
      </c>
      <c r="AL1503" s="184" t="s">
        <v>1431</v>
      </c>
      <c r="AM1503" s="184" t="s">
        <v>1471</v>
      </c>
      <c r="AN1503" s="184" t="s">
        <v>1471</v>
      </c>
      <c r="AO1503" s="184">
        <v>12</v>
      </c>
    </row>
    <row r="1504" spans="36:41" x14ac:dyDescent="0.25">
      <c r="AJ1504" s="184" t="s">
        <v>1874</v>
      </c>
      <c r="AK1504" s="184" t="s">
        <v>100</v>
      </c>
      <c r="AL1504" s="184" t="s">
        <v>1430</v>
      </c>
      <c r="AM1504" s="184" t="s">
        <v>1471</v>
      </c>
      <c r="AN1504" s="184" t="s">
        <v>1471</v>
      </c>
      <c r="AO1504" s="184">
        <v>12</v>
      </c>
    </row>
    <row r="1505" spans="36:41" x14ac:dyDescent="0.25">
      <c r="AJ1505" s="184" t="s">
        <v>1875</v>
      </c>
      <c r="AK1505" s="184" t="s">
        <v>100</v>
      </c>
      <c r="AL1505" s="184" t="s">
        <v>1431</v>
      </c>
      <c r="AM1505" s="184" t="s">
        <v>1471</v>
      </c>
      <c r="AN1505" s="184" t="s">
        <v>1471</v>
      </c>
      <c r="AO1505" s="184">
        <v>12</v>
      </c>
    </row>
    <row r="1506" spans="36:41" x14ac:dyDescent="0.25">
      <c r="AJ1506" s="184" t="s">
        <v>1876</v>
      </c>
      <c r="AK1506" s="184" t="s">
        <v>100</v>
      </c>
      <c r="AL1506" s="184" t="s">
        <v>1431</v>
      </c>
      <c r="AM1506" s="184" t="s">
        <v>1471</v>
      </c>
      <c r="AN1506" s="184" t="s">
        <v>1471</v>
      </c>
      <c r="AO1506" s="184">
        <v>12</v>
      </c>
    </row>
    <row r="1507" spans="36:41" x14ac:dyDescent="0.25">
      <c r="AJ1507" s="184" t="s">
        <v>1877</v>
      </c>
      <c r="AK1507" s="184" t="s">
        <v>100</v>
      </c>
      <c r="AL1507" s="184" t="s">
        <v>1431</v>
      </c>
      <c r="AM1507" s="184" t="s">
        <v>1471</v>
      </c>
      <c r="AN1507" s="184" t="s">
        <v>1471</v>
      </c>
      <c r="AO1507" s="184">
        <v>12</v>
      </c>
    </row>
    <row r="1508" spans="36:41" x14ac:dyDescent="0.25">
      <c r="AJ1508" s="184" t="s">
        <v>1878</v>
      </c>
      <c r="AK1508" s="184" t="s">
        <v>100</v>
      </c>
      <c r="AL1508" s="184" t="s">
        <v>1431</v>
      </c>
      <c r="AM1508" s="184" t="s">
        <v>1471</v>
      </c>
      <c r="AN1508" s="184" t="s">
        <v>1471</v>
      </c>
      <c r="AO1508" s="184">
        <v>12</v>
      </c>
    </row>
    <row r="1509" spans="36:41" x14ac:dyDescent="0.25">
      <c r="AJ1509" s="184" t="s">
        <v>1879</v>
      </c>
      <c r="AK1509" s="184" t="s">
        <v>100</v>
      </c>
      <c r="AL1509" s="184" t="s">
        <v>1431</v>
      </c>
      <c r="AM1509" s="184" t="s">
        <v>1471</v>
      </c>
      <c r="AN1509" s="184" t="s">
        <v>1471</v>
      </c>
      <c r="AO1509" s="184">
        <v>12</v>
      </c>
    </row>
    <row r="1510" spans="36:41" x14ac:dyDescent="0.25">
      <c r="AJ1510" s="184" t="s">
        <v>1880</v>
      </c>
      <c r="AK1510" s="184" t="s">
        <v>100</v>
      </c>
      <c r="AL1510" s="184" t="s">
        <v>1430</v>
      </c>
      <c r="AM1510" s="184" t="s">
        <v>1471</v>
      </c>
      <c r="AN1510" s="184" t="s">
        <v>1471</v>
      </c>
      <c r="AO1510" s="184">
        <v>12</v>
      </c>
    </row>
    <row r="1511" spans="36:41" x14ac:dyDescent="0.25">
      <c r="AJ1511" s="184" t="s">
        <v>1881</v>
      </c>
      <c r="AK1511" s="184" t="s">
        <v>100</v>
      </c>
      <c r="AL1511" s="184" t="s">
        <v>1431</v>
      </c>
      <c r="AM1511" s="184" t="s">
        <v>1471</v>
      </c>
      <c r="AN1511" s="184" t="s">
        <v>1471</v>
      </c>
      <c r="AO1511" s="184">
        <v>12</v>
      </c>
    </row>
    <row r="1512" spans="36:41" x14ac:dyDescent="0.25">
      <c r="AJ1512" s="184" t="s">
        <v>1882</v>
      </c>
      <c r="AK1512" s="184" t="s">
        <v>100</v>
      </c>
      <c r="AL1512" s="184" t="s">
        <v>1431</v>
      </c>
      <c r="AM1512" s="184" t="s">
        <v>1471</v>
      </c>
      <c r="AN1512" s="184" t="s">
        <v>1471</v>
      </c>
      <c r="AO1512" s="184">
        <v>12</v>
      </c>
    </row>
    <row r="1513" spans="36:41" x14ac:dyDescent="0.25">
      <c r="AJ1513" s="184" t="s">
        <v>1883</v>
      </c>
      <c r="AK1513" s="184" t="s">
        <v>100</v>
      </c>
      <c r="AL1513" s="184" t="s">
        <v>1431</v>
      </c>
      <c r="AM1513" s="184" t="s">
        <v>1471</v>
      </c>
      <c r="AN1513" s="184" t="s">
        <v>1471</v>
      </c>
      <c r="AO1513" s="184">
        <v>12</v>
      </c>
    </row>
    <row r="1514" spans="36:41" x14ac:dyDescent="0.25">
      <c r="AJ1514" s="184" t="s">
        <v>1884</v>
      </c>
      <c r="AK1514" s="184" t="s">
        <v>100</v>
      </c>
      <c r="AL1514" s="184" t="s">
        <v>1431</v>
      </c>
      <c r="AM1514" s="184" t="s">
        <v>1471</v>
      </c>
      <c r="AN1514" s="184" t="s">
        <v>1471</v>
      </c>
      <c r="AO1514" s="184">
        <v>12</v>
      </c>
    </row>
    <row r="1515" spans="36:41" x14ac:dyDescent="0.25">
      <c r="AJ1515" s="184" t="s">
        <v>1885</v>
      </c>
      <c r="AK1515" s="184" t="s">
        <v>100</v>
      </c>
      <c r="AL1515" s="184" t="s">
        <v>1431</v>
      </c>
      <c r="AM1515" s="184" t="s">
        <v>1471</v>
      </c>
      <c r="AN1515" s="184" t="s">
        <v>1471</v>
      </c>
      <c r="AO1515" s="184">
        <v>12</v>
      </c>
    </row>
    <row r="1516" spans="36:41" x14ac:dyDescent="0.25">
      <c r="AJ1516" s="184" t="s">
        <v>1886</v>
      </c>
      <c r="AK1516" s="184" t="s">
        <v>100</v>
      </c>
      <c r="AL1516" s="184" t="s">
        <v>1430</v>
      </c>
      <c r="AM1516" s="184" t="s">
        <v>1471</v>
      </c>
      <c r="AN1516" s="184" t="s">
        <v>1471</v>
      </c>
      <c r="AO1516" s="184">
        <v>12</v>
      </c>
    </row>
    <row r="1517" spans="36:41" x14ac:dyDescent="0.25">
      <c r="AJ1517" s="184" t="s">
        <v>1887</v>
      </c>
      <c r="AK1517" s="184" t="s">
        <v>100</v>
      </c>
      <c r="AL1517" s="184" t="s">
        <v>1431</v>
      </c>
      <c r="AM1517" s="184" t="s">
        <v>1471</v>
      </c>
      <c r="AN1517" s="184" t="s">
        <v>1471</v>
      </c>
      <c r="AO1517" s="184">
        <v>12</v>
      </c>
    </row>
    <row r="1518" spans="36:41" x14ac:dyDescent="0.25">
      <c r="AJ1518" s="184" t="s">
        <v>1888</v>
      </c>
      <c r="AK1518" s="184" t="s">
        <v>100</v>
      </c>
      <c r="AL1518" s="184" t="s">
        <v>1431</v>
      </c>
      <c r="AM1518" s="184" t="s">
        <v>1471</v>
      </c>
      <c r="AN1518" s="184" t="s">
        <v>1471</v>
      </c>
      <c r="AO1518" s="184">
        <v>12</v>
      </c>
    </row>
    <row r="1519" spans="36:41" x14ac:dyDescent="0.25">
      <c r="AJ1519" s="184" t="s">
        <v>1889</v>
      </c>
      <c r="AK1519" s="184" t="s">
        <v>100</v>
      </c>
      <c r="AL1519" s="184" t="s">
        <v>1431</v>
      </c>
      <c r="AM1519" s="184" t="s">
        <v>1471</v>
      </c>
      <c r="AN1519" s="184" t="s">
        <v>1471</v>
      </c>
      <c r="AO1519" s="184">
        <v>12</v>
      </c>
    </row>
    <row r="1520" spans="36:41" x14ac:dyDescent="0.25">
      <c r="AJ1520" s="184" t="s">
        <v>1890</v>
      </c>
      <c r="AK1520" s="184" t="s">
        <v>100</v>
      </c>
      <c r="AL1520" s="184" t="s">
        <v>1431</v>
      </c>
      <c r="AM1520" s="184" t="s">
        <v>1471</v>
      </c>
      <c r="AN1520" s="184" t="s">
        <v>1471</v>
      </c>
      <c r="AO1520" s="184">
        <v>12</v>
      </c>
    </row>
    <row r="1521" spans="36:41" x14ac:dyDescent="0.25">
      <c r="AJ1521" s="184" t="s">
        <v>1891</v>
      </c>
      <c r="AK1521" s="184" t="s">
        <v>100</v>
      </c>
      <c r="AL1521" s="184" t="s">
        <v>1431</v>
      </c>
      <c r="AM1521" s="184" t="s">
        <v>1471</v>
      </c>
      <c r="AN1521" s="184" t="s">
        <v>1471</v>
      </c>
      <c r="AO1521" s="184">
        <v>12</v>
      </c>
    </row>
    <row r="1522" spans="36:41" x14ac:dyDescent="0.25">
      <c r="AJ1522" s="184" t="s">
        <v>1892</v>
      </c>
      <c r="AK1522" s="184" t="s">
        <v>100</v>
      </c>
      <c r="AL1522" s="184" t="s">
        <v>1430</v>
      </c>
      <c r="AM1522" s="184" t="s">
        <v>1471</v>
      </c>
      <c r="AN1522" s="184" t="s">
        <v>1471</v>
      </c>
      <c r="AO1522" s="184">
        <v>12</v>
      </c>
    </row>
    <row r="1523" spans="36:41" x14ac:dyDescent="0.25">
      <c r="AJ1523" s="184" t="s">
        <v>1893</v>
      </c>
      <c r="AK1523" s="184" t="s">
        <v>100</v>
      </c>
      <c r="AL1523" s="184" t="s">
        <v>1431</v>
      </c>
      <c r="AM1523" s="184" t="s">
        <v>1471</v>
      </c>
      <c r="AN1523" s="184" t="s">
        <v>1471</v>
      </c>
      <c r="AO1523" s="184">
        <v>12</v>
      </c>
    </row>
    <row r="1524" spans="36:41" x14ac:dyDescent="0.25">
      <c r="AJ1524" s="184" t="s">
        <v>1894</v>
      </c>
      <c r="AK1524" s="184" t="s">
        <v>100</v>
      </c>
      <c r="AL1524" s="184" t="s">
        <v>1431</v>
      </c>
      <c r="AM1524" s="184" t="s">
        <v>1471</v>
      </c>
      <c r="AN1524" s="184" t="s">
        <v>1471</v>
      </c>
      <c r="AO1524" s="184">
        <v>12</v>
      </c>
    </row>
    <row r="1525" spans="36:41" x14ac:dyDescent="0.25">
      <c r="AJ1525" s="184" t="s">
        <v>1895</v>
      </c>
      <c r="AK1525" s="184" t="s">
        <v>100</v>
      </c>
      <c r="AL1525" s="184" t="s">
        <v>1431</v>
      </c>
      <c r="AM1525" s="184" t="s">
        <v>1471</v>
      </c>
      <c r="AN1525" s="184" t="s">
        <v>1471</v>
      </c>
      <c r="AO1525" s="184">
        <v>12</v>
      </c>
    </row>
    <row r="1526" spans="36:41" x14ac:dyDescent="0.25">
      <c r="AJ1526" s="184" t="s">
        <v>1896</v>
      </c>
      <c r="AK1526" s="184" t="s">
        <v>100</v>
      </c>
      <c r="AL1526" s="184" t="s">
        <v>1431</v>
      </c>
      <c r="AM1526" s="184" t="s">
        <v>1471</v>
      </c>
      <c r="AN1526" s="184" t="s">
        <v>1471</v>
      </c>
      <c r="AO1526" s="184">
        <v>12</v>
      </c>
    </row>
    <row r="1527" spans="36:41" x14ac:dyDescent="0.25">
      <c r="AJ1527" s="184" t="s">
        <v>1897</v>
      </c>
      <c r="AK1527" s="184" t="s">
        <v>1947</v>
      </c>
      <c r="AL1527" s="184" t="s">
        <v>1431</v>
      </c>
      <c r="AM1527" s="184" t="s">
        <v>1471</v>
      </c>
      <c r="AN1527" s="184" t="s">
        <v>1471</v>
      </c>
      <c r="AO1527" s="184">
        <v>12</v>
      </c>
    </row>
    <row r="1528" spans="36:41" x14ac:dyDescent="0.25">
      <c r="AJ1528" s="184" t="s">
        <v>1898</v>
      </c>
      <c r="AK1528" s="184" t="s">
        <v>1947</v>
      </c>
      <c r="AL1528" s="184" t="s">
        <v>1431</v>
      </c>
      <c r="AM1528" s="184" t="s">
        <v>1471</v>
      </c>
      <c r="AN1528" s="184" t="s">
        <v>1471</v>
      </c>
      <c r="AO1528" s="184">
        <v>12</v>
      </c>
    </row>
    <row r="1529" spans="36:41" x14ac:dyDescent="0.25">
      <c r="AJ1529" s="184" t="s">
        <v>1899</v>
      </c>
      <c r="AK1529" s="184" t="s">
        <v>1947</v>
      </c>
      <c r="AL1529" s="184" t="s">
        <v>1431</v>
      </c>
      <c r="AM1529" s="184" t="s">
        <v>1471</v>
      </c>
      <c r="AN1529" s="184" t="s">
        <v>1471</v>
      </c>
      <c r="AO1529" s="184">
        <v>12</v>
      </c>
    </row>
    <row r="1530" spans="36:41" x14ac:dyDescent="0.25">
      <c r="AJ1530" s="184" t="s">
        <v>1900</v>
      </c>
      <c r="AK1530" s="184" t="s">
        <v>1947</v>
      </c>
      <c r="AL1530" s="184" t="s">
        <v>1431</v>
      </c>
      <c r="AM1530" s="184" t="s">
        <v>1471</v>
      </c>
      <c r="AN1530" s="184" t="s">
        <v>1471</v>
      </c>
      <c r="AO1530" s="184">
        <v>12</v>
      </c>
    </row>
    <row r="1531" spans="36:41" x14ac:dyDescent="0.25">
      <c r="AJ1531" s="184" t="s">
        <v>1901</v>
      </c>
      <c r="AK1531" s="184" t="s">
        <v>1947</v>
      </c>
      <c r="AL1531" s="184" t="s">
        <v>1431</v>
      </c>
      <c r="AM1531" s="184" t="s">
        <v>1471</v>
      </c>
      <c r="AN1531" s="184" t="s">
        <v>1471</v>
      </c>
      <c r="AO1531" s="184">
        <v>12</v>
      </c>
    </row>
    <row r="1532" spans="36:41" x14ac:dyDescent="0.25">
      <c r="AJ1532" s="184" t="s">
        <v>1902</v>
      </c>
      <c r="AK1532" s="184" t="s">
        <v>1947</v>
      </c>
      <c r="AL1532" s="184" t="s">
        <v>1431</v>
      </c>
      <c r="AM1532" s="184" t="s">
        <v>1471</v>
      </c>
      <c r="AN1532" s="184" t="s">
        <v>1471</v>
      </c>
      <c r="AO1532" s="184">
        <v>12</v>
      </c>
    </row>
    <row r="1533" spans="36:41" x14ac:dyDescent="0.25">
      <c r="AJ1533" s="184" t="s">
        <v>1903</v>
      </c>
      <c r="AK1533" s="184" t="s">
        <v>1947</v>
      </c>
      <c r="AL1533" s="184" t="s">
        <v>1431</v>
      </c>
      <c r="AM1533" s="184" t="s">
        <v>1471</v>
      </c>
      <c r="AN1533" s="184" t="s">
        <v>1471</v>
      </c>
      <c r="AO1533" s="184">
        <v>12</v>
      </c>
    </row>
    <row r="1534" spans="36:41" x14ac:dyDescent="0.25">
      <c r="AJ1534" s="184" t="s">
        <v>1904</v>
      </c>
      <c r="AK1534" s="184" t="s">
        <v>1947</v>
      </c>
      <c r="AL1534" s="184" t="s">
        <v>1431</v>
      </c>
      <c r="AM1534" s="184" t="s">
        <v>1471</v>
      </c>
      <c r="AN1534" s="184" t="s">
        <v>1471</v>
      </c>
      <c r="AO1534" s="184">
        <v>12</v>
      </c>
    </row>
    <row r="1535" spans="36:41" x14ac:dyDescent="0.25">
      <c r="AJ1535" s="184" t="s">
        <v>1905</v>
      </c>
      <c r="AK1535" s="184" t="s">
        <v>1947</v>
      </c>
      <c r="AL1535" s="184" t="s">
        <v>1431</v>
      </c>
      <c r="AM1535" s="184" t="s">
        <v>1471</v>
      </c>
      <c r="AN1535" s="184" t="s">
        <v>1471</v>
      </c>
      <c r="AO1535" s="184">
        <v>12</v>
      </c>
    </row>
    <row r="1536" spans="36:41" x14ac:dyDescent="0.25">
      <c r="AJ1536" s="184" t="s">
        <v>1906</v>
      </c>
      <c r="AK1536" s="184" t="s">
        <v>1947</v>
      </c>
      <c r="AL1536" s="184" t="s">
        <v>1431</v>
      </c>
      <c r="AM1536" s="184" t="s">
        <v>1471</v>
      </c>
      <c r="AN1536" s="184" t="s">
        <v>1471</v>
      </c>
      <c r="AO1536" s="184">
        <v>12</v>
      </c>
    </row>
    <row r="1537" spans="36:41" x14ac:dyDescent="0.25">
      <c r="AJ1537" s="184" t="s">
        <v>1907</v>
      </c>
      <c r="AK1537" s="184" t="s">
        <v>1947</v>
      </c>
      <c r="AL1537" s="184" t="s">
        <v>1431</v>
      </c>
      <c r="AM1537" s="184" t="s">
        <v>1471</v>
      </c>
      <c r="AN1537" s="184" t="s">
        <v>1471</v>
      </c>
      <c r="AO1537" s="184">
        <v>12</v>
      </c>
    </row>
    <row r="1538" spans="36:41" x14ac:dyDescent="0.25">
      <c r="AJ1538" s="184" t="s">
        <v>1908</v>
      </c>
      <c r="AK1538" s="184" t="s">
        <v>1947</v>
      </c>
      <c r="AL1538" s="184" t="s">
        <v>1431</v>
      </c>
      <c r="AM1538" s="184" t="s">
        <v>1471</v>
      </c>
      <c r="AN1538" s="184" t="s">
        <v>1471</v>
      </c>
      <c r="AO1538" s="184">
        <v>12</v>
      </c>
    </row>
    <row r="1539" spans="36:41" x14ac:dyDescent="0.25">
      <c r="AJ1539" s="184" t="s">
        <v>1909</v>
      </c>
      <c r="AK1539" s="184" t="s">
        <v>1947</v>
      </c>
      <c r="AL1539" s="184" t="s">
        <v>1431</v>
      </c>
      <c r="AM1539" s="184" t="s">
        <v>1471</v>
      </c>
      <c r="AN1539" s="184" t="s">
        <v>1471</v>
      </c>
      <c r="AO1539" s="184">
        <v>12</v>
      </c>
    </row>
    <row r="1540" spans="36:41" x14ac:dyDescent="0.25">
      <c r="AJ1540" s="184" t="s">
        <v>1910</v>
      </c>
      <c r="AK1540" s="184" t="s">
        <v>1947</v>
      </c>
      <c r="AL1540" s="184" t="s">
        <v>1431</v>
      </c>
      <c r="AM1540" s="184" t="s">
        <v>1471</v>
      </c>
      <c r="AN1540" s="184" t="s">
        <v>1471</v>
      </c>
      <c r="AO1540" s="184">
        <v>12</v>
      </c>
    </row>
    <row r="1541" spans="36:41" x14ac:dyDescent="0.25">
      <c r="AJ1541" s="184" t="s">
        <v>1911</v>
      </c>
      <c r="AK1541" s="184" t="s">
        <v>1947</v>
      </c>
      <c r="AL1541" s="184" t="s">
        <v>1431</v>
      </c>
      <c r="AM1541" s="184" t="s">
        <v>1471</v>
      </c>
      <c r="AN1541" s="184" t="s">
        <v>1471</v>
      </c>
      <c r="AO1541" s="184">
        <v>12</v>
      </c>
    </row>
    <row r="1542" spans="36:41" x14ac:dyDescent="0.25">
      <c r="AJ1542" s="184" t="s">
        <v>1912</v>
      </c>
      <c r="AK1542" s="184" t="s">
        <v>1947</v>
      </c>
      <c r="AL1542" s="184" t="s">
        <v>1431</v>
      </c>
      <c r="AM1542" s="184" t="s">
        <v>1471</v>
      </c>
      <c r="AN1542" s="184" t="s">
        <v>1471</v>
      </c>
      <c r="AO1542" s="184">
        <v>12</v>
      </c>
    </row>
    <row r="1543" spans="36:41" x14ac:dyDescent="0.25">
      <c r="AJ1543" s="184" t="s">
        <v>1913</v>
      </c>
      <c r="AK1543" s="184" t="s">
        <v>1947</v>
      </c>
      <c r="AL1543" s="184" t="s">
        <v>1431</v>
      </c>
      <c r="AM1543" s="184" t="s">
        <v>1471</v>
      </c>
      <c r="AN1543" s="184" t="s">
        <v>1471</v>
      </c>
      <c r="AO1543" s="184">
        <v>12</v>
      </c>
    </row>
    <row r="1544" spans="36:41" x14ac:dyDescent="0.25">
      <c r="AJ1544" s="184" t="s">
        <v>1914</v>
      </c>
      <c r="AK1544" s="184" t="s">
        <v>1947</v>
      </c>
      <c r="AL1544" s="184" t="s">
        <v>1431</v>
      </c>
      <c r="AM1544" s="184" t="s">
        <v>1471</v>
      </c>
      <c r="AN1544" s="184" t="s">
        <v>1471</v>
      </c>
      <c r="AO1544" s="184">
        <v>12</v>
      </c>
    </row>
    <row r="1545" spans="36:41" x14ac:dyDescent="0.25">
      <c r="AJ1545" s="184" t="s">
        <v>1915</v>
      </c>
      <c r="AK1545" s="184" t="s">
        <v>1947</v>
      </c>
      <c r="AL1545" s="184" t="s">
        <v>1431</v>
      </c>
      <c r="AM1545" s="184" t="s">
        <v>1471</v>
      </c>
      <c r="AN1545" s="184" t="s">
        <v>1471</v>
      </c>
      <c r="AO1545" s="184">
        <v>12</v>
      </c>
    </row>
    <row r="1546" spans="36:41" x14ac:dyDescent="0.25">
      <c r="AJ1546" s="184" t="s">
        <v>1916</v>
      </c>
      <c r="AK1546" s="184" t="s">
        <v>1947</v>
      </c>
      <c r="AL1546" s="184" t="s">
        <v>1431</v>
      </c>
      <c r="AM1546" s="184" t="s">
        <v>1471</v>
      </c>
      <c r="AN1546" s="184" t="s">
        <v>1471</v>
      </c>
      <c r="AO1546" s="184">
        <v>12</v>
      </c>
    </row>
    <row r="1547" spans="36:41" x14ac:dyDescent="0.25">
      <c r="AJ1547" s="184" t="s">
        <v>1917</v>
      </c>
      <c r="AK1547" s="184" t="s">
        <v>1947</v>
      </c>
      <c r="AL1547" s="184" t="s">
        <v>1431</v>
      </c>
      <c r="AM1547" s="184" t="s">
        <v>1471</v>
      </c>
      <c r="AN1547" s="184" t="s">
        <v>1471</v>
      </c>
      <c r="AO1547" s="184">
        <v>12</v>
      </c>
    </row>
    <row r="1548" spans="36:41" x14ac:dyDescent="0.25">
      <c r="AJ1548" s="184" t="s">
        <v>1918</v>
      </c>
      <c r="AK1548" s="184" t="s">
        <v>1947</v>
      </c>
      <c r="AL1548" s="184" t="s">
        <v>1431</v>
      </c>
      <c r="AM1548" s="184" t="s">
        <v>1471</v>
      </c>
      <c r="AN1548" s="184" t="s">
        <v>1471</v>
      </c>
      <c r="AO1548" s="184">
        <v>12</v>
      </c>
    </row>
    <row r="1549" spans="36:41" x14ac:dyDescent="0.25">
      <c r="AJ1549" s="184" t="s">
        <v>1919</v>
      </c>
      <c r="AK1549" s="184" t="s">
        <v>1947</v>
      </c>
      <c r="AL1549" s="184" t="s">
        <v>1431</v>
      </c>
      <c r="AM1549" s="184" t="s">
        <v>1471</v>
      </c>
      <c r="AN1549" s="184" t="s">
        <v>1471</v>
      </c>
      <c r="AO1549" s="184">
        <v>12</v>
      </c>
    </row>
    <row r="1550" spans="36:41" x14ac:dyDescent="0.25">
      <c r="AJ1550" s="184" t="s">
        <v>1920</v>
      </c>
      <c r="AK1550" s="184" t="s">
        <v>1947</v>
      </c>
      <c r="AL1550" s="184" t="s">
        <v>1431</v>
      </c>
      <c r="AM1550" s="184" t="s">
        <v>1471</v>
      </c>
      <c r="AN1550" s="184" t="s">
        <v>1471</v>
      </c>
      <c r="AO1550" s="184">
        <v>12</v>
      </c>
    </row>
    <row r="1551" spans="36:41" x14ac:dyDescent="0.25">
      <c r="AJ1551" s="184" t="s">
        <v>1921</v>
      </c>
      <c r="AK1551" s="184" t="s">
        <v>1947</v>
      </c>
      <c r="AL1551" s="184" t="s">
        <v>1431</v>
      </c>
      <c r="AM1551" s="184" t="s">
        <v>1471</v>
      </c>
      <c r="AN1551" s="184" t="s">
        <v>1471</v>
      </c>
      <c r="AO1551" s="184">
        <v>12</v>
      </c>
    </row>
    <row r="1552" spans="36:41" x14ac:dyDescent="0.25">
      <c r="AJ1552" s="184" t="s">
        <v>1922</v>
      </c>
      <c r="AK1552" s="184" t="s">
        <v>1947</v>
      </c>
      <c r="AL1552" s="184" t="s">
        <v>1431</v>
      </c>
      <c r="AM1552" s="184" t="s">
        <v>1471</v>
      </c>
      <c r="AN1552" s="184" t="s">
        <v>1471</v>
      </c>
      <c r="AO1552" s="184">
        <v>12</v>
      </c>
    </row>
    <row r="1553" spans="36:41" x14ac:dyDescent="0.25">
      <c r="AJ1553" s="184" t="s">
        <v>1923</v>
      </c>
      <c r="AK1553" s="184" t="s">
        <v>1947</v>
      </c>
      <c r="AL1553" s="184" t="s">
        <v>1431</v>
      </c>
      <c r="AM1553" s="184" t="s">
        <v>1471</v>
      </c>
      <c r="AN1553" s="184" t="s">
        <v>1471</v>
      </c>
      <c r="AO1553" s="184">
        <v>12</v>
      </c>
    </row>
    <row r="1554" spans="36:41" x14ac:dyDescent="0.25">
      <c r="AJ1554" s="184" t="s">
        <v>1924</v>
      </c>
      <c r="AK1554" s="184" t="s">
        <v>1947</v>
      </c>
      <c r="AL1554" s="184" t="s">
        <v>1431</v>
      </c>
      <c r="AM1554" s="184" t="s">
        <v>1471</v>
      </c>
      <c r="AN1554" s="184" t="s">
        <v>1471</v>
      </c>
      <c r="AO1554" s="184">
        <v>12</v>
      </c>
    </row>
    <row r="1555" spans="36:41" x14ac:dyDescent="0.25">
      <c r="AJ1555" s="184" t="s">
        <v>1925</v>
      </c>
      <c r="AK1555" s="184" t="s">
        <v>1947</v>
      </c>
      <c r="AL1555" s="184" t="s">
        <v>1431</v>
      </c>
      <c r="AM1555" s="184" t="s">
        <v>1471</v>
      </c>
      <c r="AN1555" s="184" t="s">
        <v>1471</v>
      </c>
      <c r="AO1555" s="184">
        <v>12</v>
      </c>
    </row>
    <row r="1556" spans="36:41" x14ac:dyDescent="0.25">
      <c r="AJ1556" s="184" t="s">
        <v>1926</v>
      </c>
      <c r="AK1556" s="184" t="s">
        <v>1947</v>
      </c>
      <c r="AL1556" s="184" t="s">
        <v>1431</v>
      </c>
      <c r="AM1556" s="184" t="s">
        <v>1471</v>
      </c>
      <c r="AN1556" s="184" t="s">
        <v>1471</v>
      </c>
      <c r="AO1556" s="184">
        <v>12</v>
      </c>
    </row>
    <row r="1557" spans="36:41" x14ac:dyDescent="0.25">
      <c r="AJ1557" s="184" t="s">
        <v>1927</v>
      </c>
      <c r="AK1557" s="184" t="s">
        <v>1947</v>
      </c>
      <c r="AL1557" s="184" t="s">
        <v>1431</v>
      </c>
      <c r="AM1557" s="184" t="s">
        <v>1471</v>
      </c>
      <c r="AN1557" s="184" t="s">
        <v>1471</v>
      </c>
      <c r="AO1557" s="184">
        <v>12</v>
      </c>
    </row>
    <row r="1558" spans="36:41" x14ac:dyDescent="0.25">
      <c r="AJ1558" s="184" t="s">
        <v>1928</v>
      </c>
      <c r="AK1558" s="184" t="s">
        <v>1947</v>
      </c>
      <c r="AL1558" s="184" t="s">
        <v>1431</v>
      </c>
      <c r="AM1558" s="184" t="s">
        <v>1471</v>
      </c>
      <c r="AN1558" s="184" t="s">
        <v>1471</v>
      </c>
      <c r="AO1558" s="184">
        <v>12</v>
      </c>
    </row>
    <row r="1559" spans="36:41" x14ac:dyDescent="0.25">
      <c r="AJ1559" s="184" t="s">
        <v>1929</v>
      </c>
      <c r="AK1559" s="184" t="s">
        <v>1947</v>
      </c>
      <c r="AL1559" s="184" t="s">
        <v>1431</v>
      </c>
      <c r="AM1559" s="184" t="s">
        <v>1471</v>
      </c>
      <c r="AN1559" s="184" t="s">
        <v>1471</v>
      </c>
      <c r="AO1559" s="184">
        <v>12</v>
      </c>
    </row>
    <row r="1560" spans="36:41" x14ac:dyDescent="0.25">
      <c r="AJ1560" s="184" t="s">
        <v>1930</v>
      </c>
      <c r="AK1560" s="184" t="s">
        <v>1947</v>
      </c>
      <c r="AL1560" s="184" t="s">
        <v>1431</v>
      </c>
      <c r="AM1560" s="184" t="s">
        <v>1471</v>
      </c>
      <c r="AN1560" s="184" t="s">
        <v>1471</v>
      </c>
      <c r="AO1560" s="184">
        <v>12</v>
      </c>
    </row>
    <row r="1561" spans="36:41" x14ac:dyDescent="0.25">
      <c r="AJ1561" s="184" t="s">
        <v>1931</v>
      </c>
      <c r="AK1561" s="184" t="s">
        <v>1947</v>
      </c>
      <c r="AL1561" s="184" t="s">
        <v>1431</v>
      </c>
      <c r="AM1561" s="184" t="s">
        <v>1471</v>
      </c>
      <c r="AN1561" s="184" t="s">
        <v>1471</v>
      </c>
      <c r="AO1561" s="184">
        <v>12</v>
      </c>
    </row>
    <row r="1562" spans="36:41" x14ac:dyDescent="0.25">
      <c r="AJ1562" s="184" t="s">
        <v>1932</v>
      </c>
      <c r="AK1562" s="184" t="s">
        <v>1947</v>
      </c>
      <c r="AL1562" s="184" t="s">
        <v>1431</v>
      </c>
      <c r="AM1562" s="184" t="s">
        <v>1471</v>
      </c>
      <c r="AN1562" s="184" t="s">
        <v>1471</v>
      </c>
      <c r="AO1562" s="184">
        <v>12</v>
      </c>
    </row>
    <row r="1563" spans="36:41" x14ac:dyDescent="0.25">
      <c r="AJ1563" s="184" t="s">
        <v>1933</v>
      </c>
      <c r="AK1563" s="184" t="s">
        <v>1947</v>
      </c>
      <c r="AL1563" s="184" t="s">
        <v>1431</v>
      </c>
      <c r="AM1563" s="184" t="s">
        <v>1471</v>
      </c>
      <c r="AN1563" s="184" t="s">
        <v>1471</v>
      </c>
      <c r="AO1563" s="184">
        <v>12</v>
      </c>
    </row>
    <row r="1564" spans="36:41" x14ac:dyDescent="0.25">
      <c r="AJ1564" s="184" t="s">
        <v>1934</v>
      </c>
      <c r="AK1564" s="184" t="s">
        <v>1947</v>
      </c>
      <c r="AL1564" s="184" t="s">
        <v>1431</v>
      </c>
      <c r="AM1564" s="184" t="s">
        <v>1471</v>
      </c>
      <c r="AN1564" s="184" t="s">
        <v>1471</v>
      </c>
      <c r="AO1564" s="184">
        <v>12</v>
      </c>
    </row>
    <row r="1565" spans="36:41" x14ac:dyDescent="0.25">
      <c r="AJ1565" s="184" t="s">
        <v>1935</v>
      </c>
      <c r="AK1565" s="184" t="s">
        <v>1947</v>
      </c>
      <c r="AL1565" s="184" t="s">
        <v>1431</v>
      </c>
      <c r="AM1565" s="184" t="s">
        <v>1471</v>
      </c>
      <c r="AN1565" s="184" t="s">
        <v>1471</v>
      </c>
      <c r="AO1565" s="184">
        <v>12</v>
      </c>
    </row>
    <row r="1566" spans="36:41" x14ac:dyDescent="0.25">
      <c r="AJ1566" s="184" t="s">
        <v>1936</v>
      </c>
      <c r="AK1566" s="184" t="s">
        <v>1947</v>
      </c>
      <c r="AL1566" s="184" t="s">
        <v>1431</v>
      </c>
      <c r="AM1566" s="184" t="s">
        <v>1471</v>
      </c>
      <c r="AN1566" s="184" t="s">
        <v>1471</v>
      </c>
      <c r="AO1566" s="184">
        <v>12</v>
      </c>
    </row>
    <row r="1567" spans="36:41" x14ac:dyDescent="0.25">
      <c r="AJ1567" s="184" t="s">
        <v>1937</v>
      </c>
      <c r="AK1567" s="184" t="s">
        <v>1947</v>
      </c>
      <c r="AL1567" s="184" t="s">
        <v>1431</v>
      </c>
      <c r="AM1567" s="184" t="s">
        <v>1471</v>
      </c>
      <c r="AN1567" s="184" t="s">
        <v>1471</v>
      </c>
      <c r="AO1567" s="184">
        <v>12</v>
      </c>
    </row>
    <row r="1568" spans="36:41" x14ac:dyDescent="0.25">
      <c r="AJ1568" s="184" t="s">
        <v>1938</v>
      </c>
      <c r="AK1568" s="184" t="s">
        <v>1947</v>
      </c>
      <c r="AL1568" s="184" t="s">
        <v>1431</v>
      </c>
      <c r="AM1568" s="184" t="s">
        <v>1471</v>
      </c>
      <c r="AN1568" s="184" t="s">
        <v>1471</v>
      </c>
      <c r="AO1568" s="184">
        <v>12</v>
      </c>
    </row>
    <row r="1569" spans="36:41" x14ac:dyDescent="0.25">
      <c r="AJ1569" s="184" t="s">
        <v>1939</v>
      </c>
      <c r="AK1569" s="184" t="s">
        <v>1947</v>
      </c>
      <c r="AL1569" s="184" t="s">
        <v>1431</v>
      </c>
      <c r="AM1569" s="184" t="s">
        <v>1471</v>
      </c>
      <c r="AN1569" s="184" t="s">
        <v>1471</v>
      </c>
      <c r="AO1569" s="184">
        <v>12</v>
      </c>
    </row>
    <row r="1570" spans="36:41" x14ac:dyDescent="0.25">
      <c r="AJ1570" s="184" t="s">
        <v>1940</v>
      </c>
      <c r="AK1570" s="184" t="s">
        <v>1947</v>
      </c>
      <c r="AL1570" s="184" t="s">
        <v>1431</v>
      </c>
      <c r="AM1570" s="184" t="s">
        <v>1471</v>
      </c>
      <c r="AN1570" s="184" t="s">
        <v>1471</v>
      </c>
      <c r="AO1570" s="184">
        <v>12</v>
      </c>
    </row>
    <row r="1571" spans="36:41" x14ac:dyDescent="0.25">
      <c r="AJ1571" s="184" t="s">
        <v>1941</v>
      </c>
      <c r="AK1571" s="184" t="s">
        <v>1947</v>
      </c>
      <c r="AL1571" s="184" t="s">
        <v>1431</v>
      </c>
      <c r="AM1571" s="184" t="s">
        <v>1471</v>
      </c>
      <c r="AN1571" s="184" t="s">
        <v>1471</v>
      </c>
      <c r="AO1571" s="184">
        <v>12</v>
      </c>
    </row>
    <row r="1572" spans="36:41" x14ac:dyDescent="0.25">
      <c r="AJ1572" s="184" t="s">
        <v>1942</v>
      </c>
      <c r="AK1572" s="184" t="s">
        <v>1947</v>
      </c>
      <c r="AL1572" s="184" t="s">
        <v>1431</v>
      </c>
      <c r="AM1572" s="184" t="s">
        <v>1471</v>
      </c>
      <c r="AN1572" s="184" t="s">
        <v>1471</v>
      </c>
      <c r="AO1572" s="184">
        <v>12</v>
      </c>
    </row>
    <row r="1573" spans="36:41" x14ac:dyDescent="0.25">
      <c r="AJ1573" s="184" t="s">
        <v>1943</v>
      </c>
      <c r="AK1573" s="184" t="s">
        <v>1947</v>
      </c>
      <c r="AL1573" s="184" t="s">
        <v>1431</v>
      </c>
      <c r="AM1573" s="184" t="s">
        <v>1471</v>
      </c>
      <c r="AN1573" s="184" t="s">
        <v>1471</v>
      </c>
      <c r="AO1573" s="184">
        <v>12</v>
      </c>
    </row>
    <row r="1574" spans="36:41" x14ac:dyDescent="0.25">
      <c r="AJ1574" s="184" t="s">
        <v>1944</v>
      </c>
      <c r="AK1574" s="184" t="s">
        <v>100</v>
      </c>
      <c r="AL1574" s="184" t="s">
        <v>1431</v>
      </c>
      <c r="AM1574" s="184" t="s">
        <v>1471</v>
      </c>
      <c r="AN1574" s="184" t="s">
        <v>1471</v>
      </c>
      <c r="AO1574" s="184">
        <v>12</v>
      </c>
    </row>
    <row r="1575" spans="36:41" x14ac:dyDescent="0.25">
      <c r="AJ1575" s="184" t="s">
        <v>1945</v>
      </c>
      <c r="AK1575" s="184" t="s">
        <v>100</v>
      </c>
      <c r="AL1575" s="184" t="s">
        <v>1431</v>
      </c>
      <c r="AM1575" s="184" t="s">
        <v>1471</v>
      </c>
      <c r="AN1575" s="184" t="s">
        <v>1471</v>
      </c>
      <c r="AO1575" s="184">
        <v>12</v>
      </c>
    </row>
    <row r="1576" spans="36:41" x14ac:dyDescent="0.25">
      <c r="AJ1576" s="184" t="s">
        <v>1946</v>
      </c>
      <c r="AK1576" s="184" t="s">
        <v>100</v>
      </c>
      <c r="AL1576" s="184" t="s">
        <v>1431</v>
      </c>
      <c r="AM1576" s="184" t="s">
        <v>1471</v>
      </c>
      <c r="AN1576" s="184" t="s">
        <v>1471</v>
      </c>
      <c r="AO1576" s="184">
        <v>12</v>
      </c>
    </row>
    <row r="1577" spans="36:41" x14ac:dyDescent="0.25">
      <c r="AJ1577" s="184" t="s">
        <v>1961</v>
      </c>
      <c r="AK1577" s="184" t="s">
        <v>1982</v>
      </c>
      <c r="AL1577" s="184" t="s">
        <v>1431</v>
      </c>
      <c r="AM1577" s="184" t="s">
        <v>59</v>
      </c>
      <c r="AN1577" s="184" t="s">
        <v>1540</v>
      </c>
      <c r="AO1577" s="184">
        <v>12</v>
      </c>
    </row>
    <row r="1578" spans="36:41" x14ac:dyDescent="0.25">
      <c r="AJ1578" s="184" t="s">
        <v>1962</v>
      </c>
      <c r="AK1578" s="184" t="s">
        <v>1407</v>
      </c>
      <c r="AL1578" s="184" t="s">
        <v>1431</v>
      </c>
      <c r="AM1578" s="184" t="s">
        <v>1983</v>
      </c>
      <c r="AN1578" s="184" t="s">
        <v>1983</v>
      </c>
      <c r="AO1578" s="184">
        <v>12</v>
      </c>
    </row>
    <row r="1579" spans="36:41" x14ac:dyDescent="0.25">
      <c r="AJ1579" s="184" t="s">
        <v>1963</v>
      </c>
      <c r="AK1579" s="184" t="s">
        <v>1407</v>
      </c>
      <c r="AL1579" s="184" t="s">
        <v>1431</v>
      </c>
      <c r="AM1579" s="184" t="s">
        <v>1983</v>
      </c>
      <c r="AN1579" s="184" t="s">
        <v>1983</v>
      </c>
      <c r="AO1579" s="184">
        <v>12</v>
      </c>
    </row>
    <row r="1580" spans="36:41" x14ac:dyDescent="0.25">
      <c r="AJ1580" s="184" t="s">
        <v>1964</v>
      </c>
      <c r="AK1580" s="184" t="s">
        <v>1407</v>
      </c>
      <c r="AL1580" s="184" t="s">
        <v>1431</v>
      </c>
      <c r="AM1580" s="184" t="s">
        <v>1983</v>
      </c>
      <c r="AN1580" s="184" t="s">
        <v>1983</v>
      </c>
      <c r="AO1580" s="184">
        <v>12</v>
      </c>
    </row>
    <row r="1581" spans="36:41" x14ac:dyDescent="0.25">
      <c r="AJ1581" s="184" t="s">
        <v>1965</v>
      </c>
      <c r="AK1581" s="184" t="s">
        <v>1407</v>
      </c>
      <c r="AL1581" s="184" t="s">
        <v>1431</v>
      </c>
      <c r="AM1581" s="184" t="s">
        <v>1983</v>
      </c>
      <c r="AN1581" s="184" t="s">
        <v>1983</v>
      </c>
      <c r="AO1581" s="184">
        <v>12</v>
      </c>
    </row>
    <row r="1582" spans="36:41" x14ac:dyDescent="0.25">
      <c r="AJ1582" s="184" t="s">
        <v>1966</v>
      </c>
      <c r="AK1582" s="184" t="s">
        <v>100</v>
      </c>
      <c r="AL1582" s="184" t="s">
        <v>1431</v>
      </c>
      <c r="AM1582" s="184" t="s">
        <v>1984</v>
      </c>
      <c r="AN1582" s="184" t="s">
        <v>1471</v>
      </c>
      <c r="AO1582" s="184">
        <v>12</v>
      </c>
    </row>
    <row r="1583" spans="36:41" x14ac:dyDescent="0.25">
      <c r="AJ1583" s="184" t="s">
        <v>1967</v>
      </c>
      <c r="AK1583" s="184" t="s">
        <v>100</v>
      </c>
      <c r="AL1583" s="184" t="s">
        <v>1431</v>
      </c>
      <c r="AM1583" s="184" t="s">
        <v>1984</v>
      </c>
      <c r="AN1583" s="184" t="s">
        <v>1471</v>
      </c>
      <c r="AO1583" s="184">
        <v>12</v>
      </c>
    </row>
    <row r="1584" spans="36:41" x14ac:dyDescent="0.25">
      <c r="AJ1584" s="184" t="s">
        <v>1968</v>
      </c>
      <c r="AK1584" s="184" t="s">
        <v>100</v>
      </c>
      <c r="AL1584" s="184" t="s">
        <v>1431</v>
      </c>
      <c r="AM1584" s="184" t="s">
        <v>1984</v>
      </c>
      <c r="AN1584" s="184" t="s">
        <v>1471</v>
      </c>
      <c r="AO1584" s="184">
        <v>12</v>
      </c>
    </row>
    <row r="1585" spans="36:41" x14ac:dyDescent="0.25">
      <c r="AJ1585" s="184" t="s">
        <v>1969</v>
      </c>
      <c r="AK1585" s="184" t="s">
        <v>100</v>
      </c>
      <c r="AL1585" s="184" t="s">
        <v>1431</v>
      </c>
      <c r="AM1585" s="184" t="s">
        <v>1984</v>
      </c>
      <c r="AN1585" s="184" t="s">
        <v>1471</v>
      </c>
      <c r="AO1585" s="184">
        <v>12</v>
      </c>
    </row>
    <row r="1586" spans="36:41" x14ac:dyDescent="0.25">
      <c r="AJ1586" s="184" t="s">
        <v>1970</v>
      </c>
      <c r="AK1586" s="184" t="s">
        <v>100</v>
      </c>
      <c r="AL1586" s="184" t="s">
        <v>1431</v>
      </c>
      <c r="AM1586" s="184" t="s">
        <v>1984</v>
      </c>
      <c r="AN1586" s="184" t="s">
        <v>1471</v>
      </c>
      <c r="AO1586" s="184">
        <v>12</v>
      </c>
    </row>
    <row r="1587" spans="36:41" x14ac:dyDescent="0.25">
      <c r="AJ1587" s="184" t="s">
        <v>1971</v>
      </c>
      <c r="AK1587" s="184" t="s">
        <v>100</v>
      </c>
      <c r="AL1587" s="184" t="s">
        <v>1431</v>
      </c>
      <c r="AM1587" s="184" t="s">
        <v>1984</v>
      </c>
      <c r="AN1587" s="184" t="s">
        <v>1471</v>
      </c>
      <c r="AO1587" s="184">
        <v>12</v>
      </c>
    </row>
    <row r="1588" spans="36:41" x14ac:dyDescent="0.25">
      <c r="AJ1588" s="184" t="s">
        <v>1972</v>
      </c>
      <c r="AK1588" s="184" t="s">
        <v>100</v>
      </c>
      <c r="AL1588" s="184" t="s">
        <v>1431</v>
      </c>
      <c r="AM1588" s="184" t="s">
        <v>1984</v>
      </c>
      <c r="AN1588" s="184" t="s">
        <v>1471</v>
      </c>
      <c r="AO1588" s="184">
        <v>12</v>
      </c>
    </row>
    <row r="1589" spans="36:41" x14ac:dyDescent="0.25">
      <c r="AJ1589" s="184" t="s">
        <v>1973</v>
      </c>
      <c r="AK1589" s="184" t="s">
        <v>100</v>
      </c>
      <c r="AL1589" s="184" t="s">
        <v>1431</v>
      </c>
      <c r="AM1589" s="184" t="s">
        <v>1984</v>
      </c>
      <c r="AN1589" s="184" t="s">
        <v>1471</v>
      </c>
      <c r="AO1589" s="184">
        <v>12</v>
      </c>
    </row>
    <row r="1590" spans="36:41" x14ac:dyDescent="0.25">
      <c r="AJ1590" s="184" t="s">
        <v>1974</v>
      </c>
      <c r="AK1590" s="184" t="s">
        <v>100</v>
      </c>
      <c r="AL1590" s="184" t="s">
        <v>1431</v>
      </c>
      <c r="AM1590" s="184" t="s">
        <v>1984</v>
      </c>
      <c r="AN1590" s="184" t="s">
        <v>1471</v>
      </c>
      <c r="AO1590" s="184">
        <v>12</v>
      </c>
    </row>
    <row r="1591" spans="36:41" x14ac:dyDescent="0.25">
      <c r="AJ1591" s="184" t="s">
        <v>1975</v>
      </c>
      <c r="AK1591" s="184" t="s">
        <v>100</v>
      </c>
      <c r="AL1591" s="184" t="s">
        <v>1431</v>
      </c>
      <c r="AM1591" s="184" t="s">
        <v>1984</v>
      </c>
      <c r="AN1591" s="184" t="s">
        <v>1471</v>
      </c>
      <c r="AO1591" s="184">
        <v>12</v>
      </c>
    </row>
    <row r="1592" spans="36:41" x14ac:dyDescent="0.25">
      <c r="AJ1592" s="184" t="s">
        <v>1976</v>
      </c>
      <c r="AK1592" s="184" t="s">
        <v>100</v>
      </c>
      <c r="AL1592" s="184" t="s">
        <v>1431</v>
      </c>
      <c r="AM1592" s="184" t="s">
        <v>1984</v>
      </c>
      <c r="AN1592" s="184" t="s">
        <v>1471</v>
      </c>
      <c r="AO1592" s="184">
        <v>12</v>
      </c>
    </row>
    <row r="1593" spans="36:41" x14ac:dyDescent="0.25">
      <c r="AJ1593" s="184" t="s">
        <v>1977</v>
      </c>
      <c r="AK1593" s="184" t="s">
        <v>100</v>
      </c>
      <c r="AL1593" s="184" t="s">
        <v>1431</v>
      </c>
      <c r="AM1593" s="184" t="s">
        <v>1984</v>
      </c>
      <c r="AN1593" s="184" t="s">
        <v>1471</v>
      </c>
      <c r="AO1593" s="184">
        <v>12</v>
      </c>
    </row>
    <row r="1594" spans="36:41" x14ac:dyDescent="0.25">
      <c r="AJ1594" s="184" t="s">
        <v>1978</v>
      </c>
      <c r="AK1594" s="184" t="s">
        <v>100</v>
      </c>
      <c r="AL1594" s="184" t="s">
        <v>1431</v>
      </c>
      <c r="AM1594" s="184" t="s">
        <v>1984</v>
      </c>
      <c r="AN1594" s="184" t="s">
        <v>1471</v>
      </c>
      <c r="AO1594" s="184">
        <v>12</v>
      </c>
    </row>
    <row r="1595" spans="36:41" x14ac:dyDescent="0.25">
      <c r="AJ1595" s="184" t="s">
        <v>1979</v>
      </c>
      <c r="AK1595" s="184" t="s">
        <v>100</v>
      </c>
      <c r="AL1595" s="184" t="s">
        <v>1431</v>
      </c>
      <c r="AM1595" s="184" t="s">
        <v>1984</v>
      </c>
      <c r="AN1595" s="184" t="s">
        <v>1471</v>
      </c>
      <c r="AO1595" s="184">
        <v>12</v>
      </c>
    </row>
    <row r="1596" spans="36:41" x14ac:dyDescent="0.25">
      <c r="AJ1596" s="184" t="s">
        <v>1980</v>
      </c>
      <c r="AK1596" s="184" t="s">
        <v>100</v>
      </c>
      <c r="AL1596" s="184" t="s">
        <v>1431</v>
      </c>
      <c r="AM1596" s="184" t="s">
        <v>1984</v>
      </c>
      <c r="AN1596" s="184" t="s">
        <v>1471</v>
      </c>
      <c r="AO1596" s="184">
        <v>12</v>
      </c>
    </row>
    <row r="1597" spans="36:41" x14ac:dyDescent="0.25">
      <c r="AJ1597" s="184" t="s">
        <v>1981</v>
      </c>
      <c r="AK1597" s="184" t="s">
        <v>100</v>
      </c>
      <c r="AL1597" s="184" t="s">
        <v>1431</v>
      </c>
      <c r="AM1597" s="184" t="s">
        <v>1984</v>
      </c>
      <c r="AN1597" s="184" t="s">
        <v>1471</v>
      </c>
      <c r="AO1597" s="184">
        <v>12</v>
      </c>
    </row>
    <row r="1598" spans="36:41" x14ac:dyDescent="0.25">
      <c r="AJ1598" s="184" t="s">
        <v>1985</v>
      </c>
      <c r="AK1598" s="184" t="s">
        <v>1391</v>
      </c>
      <c r="AL1598" s="184" t="s">
        <v>1431</v>
      </c>
      <c r="AM1598" s="184" t="s">
        <v>2004</v>
      </c>
      <c r="AN1598" s="184" t="s">
        <v>2005</v>
      </c>
      <c r="AO1598" s="184">
        <v>12</v>
      </c>
    </row>
    <row r="1599" spans="36:41" x14ac:dyDescent="0.25">
      <c r="AJ1599" s="184" t="s">
        <v>1986</v>
      </c>
      <c r="AK1599" s="184" t="s">
        <v>134</v>
      </c>
      <c r="AL1599" s="184" t="s">
        <v>1431</v>
      </c>
      <c r="AM1599" s="184" t="s">
        <v>1459</v>
      </c>
      <c r="AN1599" s="184" t="s">
        <v>137</v>
      </c>
      <c r="AO1599" s="184">
        <v>12</v>
      </c>
    </row>
    <row r="1600" spans="36:41" x14ac:dyDescent="0.25">
      <c r="AJ1600" s="184" t="s">
        <v>1987</v>
      </c>
      <c r="AK1600" s="184" t="s">
        <v>1389</v>
      </c>
      <c r="AL1600" s="184" t="s">
        <v>1431</v>
      </c>
      <c r="AM1600" s="184" t="s">
        <v>1436</v>
      </c>
      <c r="AN1600" s="184" t="s">
        <v>1535</v>
      </c>
      <c r="AO1600" s="184">
        <v>12</v>
      </c>
    </row>
    <row r="1601" spans="36:41" x14ac:dyDescent="0.25">
      <c r="AJ1601" s="184" t="s">
        <v>1988</v>
      </c>
      <c r="AK1601" s="184" t="s">
        <v>1670</v>
      </c>
      <c r="AL1601" s="184" t="s">
        <v>1431</v>
      </c>
      <c r="AM1601" s="184" t="s">
        <v>1523</v>
      </c>
      <c r="AN1601" s="184" t="s">
        <v>1538</v>
      </c>
      <c r="AO1601" s="184">
        <v>12</v>
      </c>
    </row>
    <row r="1602" spans="36:41" x14ac:dyDescent="0.25">
      <c r="AJ1602" s="184" t="s">
        <v>1989</v>
      </c>
      <c r="AK1602" s="184" t="s">
        <v>1670</v>
      </c>
      <c r="AL1602" s="184" t="s">
        <v>1431</v>
      </c>
      <c r="AM1602" s="184" t="s">
        <v>1474</v>
      </c>
      <c r="AN1602" s="184" t="s">
        <v>1538</v>
      </c>
      <c r="AO1602" s="184">
        <v>12</v>
      </c>
    </row>
    <row r="1603" spans="36:41" x14ac:dyDescent="0.25">
      <c r="AJ1603" s="184" t="s">
        <v>1990</v>
      </c>
      <c r="AK1603" s="184" t="s">
        <v>2003</v>
      </c>
      <c r="AL1603" s="184" t="s">
        <v>1431</v>
      </c>
      <c r="AM1603" s="184" t="s">
        <v>1436</v>
      </c>
      <c r="AN1603" s="184" t="s">
        <v>1535</v>
      </c>
      <c r="AO1603" s="184">
        <v>12</v>
      </c>
    </row>
    <row r="1604" spans="36:41" x14ac:dyDescent="0.25">
      <c r="AJ1604" s="184" t="s">
        <v>1991</v>
      </c>
      <c r="AK1604" s="184" t="s">
        <v>1425</v>
      </c>
      <c r="AL1604" s="184" t="s">
        <v>1431</v>
      </c>
      <c r="AM1604" s="184" t="s">
        <v>1492</v>
      </c>
      <c r="AN1604" s="184" t="s">
        <v>1538</v>
      </c>
      <c r="AO1604" s="184">
        <v>12</v>
      </c>
    </row>
    <row r="1605" spans="36:41" x14ac:dyDescent="0.25">
      <c r="AJ1605" s="184" t="s">
        <v>1992</v>
      </c>
      <c r="AK1605" s="184" t="s">
        <v>1425</v>
      </c>
      <c r="AL1605" s="184" t="s">
        <v>1431</v>
      </c>
      <c r="AM1605" s="184" t="s">
        <v>1492</v>
      </c>
      <c r="AN1605" s="184" t="s">
        <v>1538</v>
      </c>
      <c r="AO1605" s="184">
        <v>12</v>
      </c>
    </row>
    <row r="1606" spans="36:41" x14ac:dyDescent="0.25">
      <c r="AJ1606" s="184" t="s">
        <v>1993</v>
      </c>
      <c r="AK1606" s="184" t="s">
        <v>1425</v>
      </c>
      <c r="AL1606" s="184" t="s">
        <v>1431</v>
      </c>
      <c r="AM1606" s="184" t="s">
        <v>1492</v>
      </c>
      <c r="AN1606" s="184" t="s">
        <v>1538</v>
      </c>
      <c r="AO1606" s="184">
        <v>12</v>
      </c>
    </row>
    <row r="1607" spans="36:41" x14ac:dyDescent="0.25">
      <c r="AJ1607" s="184" t="s">
        <v>1994</v>
      </c>
      <c r="AK1607" s="184" t="s">
        <v>1425</v>
      </c>
      <c r="AL1607" s="184" t="s">
        <v>1431</v>
      </c>
      <c r="AM1607" s="184" t="s">
        <v>1492</v>
      </c>
      <c r="AN1607" s="184" t="s">
        <v>1538</v>
      </c>
      <c r="AO1607" s="184">
        <v>12</v>
      </c>
    </row>
    <row r="1608" spans="36:41" x14ac:dyDescent="0.25">
      <c r="AJ1608" s="184" t="s">
        <v>1995</v>
      </c>
      <c r="AK1608" s="184" t="s">
        <v>1425</v>
      </c>
      <c r="AL1608" s="184" t="s">
        <v>1431</v>
      </c>
      <c r="AM1608" s="184" t="s">
        <v>1492</v>
      </c>
      <c r="AN1608" s="184" t="s">
        <v>1538</v>
      </c>
      <c r="AO1608" s="184">
        <v>12</v>
      </c>
    </row>
    <row r="1609" spans="36:41" x14ac:dyDescent="0.25">
      <c r="AJ1609" s="184" t="s">
        <v>1996</v>
      </c>
      <c r="AK1609" s="184" t="s">
        <v>83</v>
      </c>
      <c r="AL1609" s="184" t="s">
        <v>1433</v>
      </c>
      <c r="AM1609" s="184" t="s">
        <v>1456</v>
      </c>
      <c r="AN1609" s="184" t="s">
        <v>137</v>
      </c>
      <c r="AO1609" s="184">
        <v>24</v>
      </c>
    </row>
    <row r="1610" spans="36:41" x14ac:dyDescent="0.25">
      <c r="AJ1610" s="184" t="s">
        <v>1997</v>
      </c>
      <c r="AK1610" s="184" t="s">
        <v>1420</v>
      </c>
      <c r="AL1610" s="184" t="s">
        <v>1431</v>
      </c>
      <c r="AM1610" s="184" t="s">
        <v>1517</v>
      </c>
      <c r="AN1610" s="184" t="s">
        <v>1538</v>
      </c>
      <c r="AO1610" s="184">
        <v>6</v>
      </c>
    </row>
    <row r="1611" spans="36:41" x14ac:dyDescent="0.25">
      <c r="AJ1611" s="184" t="s">
        <v>1998</v>
      </c>
      <c r="AK1611" s="184" t="s">
        <v>1420</v>
      </c>
      <c r="AL1611" s="184" t="s">
        <v>1431</v>
      </c>
      <c r="AM1611" s="184" t="s">
        <v>1520</v>
      </c>
      <c r="AN1611" s="184" t="s">
        <v>1538</v>
      </c>
      <c r="AO1611" s="184">
        <v>6</v>
      </c>
    </row>
    <row r="1612" spans="36:41" x14ac:dyDescent="0.25">
      <c r="AJ1612" s="184" t="s">
        <v>1999</v>
      </c>
      <c r="AK1612" s="184" t="s">
        <v>1420</v>
      </c>
      <c r="AL1612" s="184" t="s">
        <v>1431</v>
      </c>
      <c r="AM1612" s="184" t="s">
        <v>1523</v>
      </c>
      <c r="AN1612" s="184" t="s">
        <v>1538</v>
      </c>
      <c r="AO1612" s="184">
        <v>6</v>
      </c>
    </row>
    <row r="1613" spans="36:41" x14ac:dyDescent="0.25">
      <c r="AJ1613" s="184" t="s">
        <v>2000</v>
      </c>
      <c r="AK1613" s="184" t="s">
        <v>1420</v>
      </c>
      <c r="AL1613" s="184" t="s">
        <v>1431</v>
      </c>
      <c r="AM1613" s="184" t="s">
        <v>2006</v>
      </c>
      <c r="AN1613" s="184" t="s">
        <v>1538</v>
      </c>
      <c r="AO1613" s="184">
        <v>6</v>
      </c>
    </row>
    <row r="1614" spans="36:41" x14ac:dyDescent="0.25">
      <c r="AJ1614" s="184" t="s">
        <v>2001</v>
      </c>
      <c r="AK1614" s="184" t="s">
        <v>1420</v>
      </c>
      <c r="AL1614" s="184" t="s">
        <v>1431</v>
      </c>
      <c r="AM1614" s="184" t="s">
        <v>1527</v>
      </c>
      <c r="AN1614" s="184" t="s">
        <v>1538</v>
      </c>
      <c r="AO1614" s="184">
        <v>6</v>
      </c>
    </row>
    <row r="1615" spans="36:41" x14ac:dyDescent="0.25">
      <c r="AJ1615" s="184" t="s">
        <v>2002</v>
      </c>
      <c r="AK1615" s="184" t="s">
        <v>1420</v>
      </c>
      <c r="AL1615" s="184" t="s">
        <v>1431</v>
      </c>
      <c r="AM1615" s="184" t="s">
        <v>1531</v>
      </c>
      <c r="AN1615" s="184" t="s">
        <v>1538</v>
      </c>
      <c r="AO1615" s="184">
        <v>6</v>
      </c>
    </row>
    <row r="1616" spans="36:41" x14ac:dyDescent="0.25">
      <c r="AJ1616" s="184" t="s">
        <v>2011</v>
      </c>
      <c r="AK1616" s="184" t="s">
        <v>1425</v>
      </c>
      <c r="AL1616" s="33" t="s">
        <v>1431</v>
      </c>
      <c r="AM1616" s="184" t="s">
        <v>1485</v>
      </c>
      <c r="AN1616" s="184" t="s">
        <v>1538</v>
      </c>
      <c r="AO1616" s="184">
        <v>12</v>
      </c>
    </row>
    <row r="1617" spans="36:41" x14ac:dyDescent="0.25">
      <c r="AJ1617" s="184" t="s">
        <v>2012</v>
      </c>
      <c r="AK1617" s="184" t="s">
        <v>1425</v>
      </c>
      <c r="AL1617" s="33" t="s">
        <v>1431</v>
      </c>
      <c r="AM1617" s="184" t="s">
        <v>1492</v>
      </c>
      <c r="AN1617" s="184" t="s">
        <v>1538</v>
      </c>
      <c r="AO1617" s="184">
        <v>12</v>
      </c>
    </row>
    <row r="1618" spans="36:41" x14ac:dyDescent="0.25">
      <c r="AJ1618" s="184" t="s">
        <v>2013</v>
      </c>
      <c r="AK1618" s="184" t="s">
        <v>1425</v>
      </c>
      <c r="AL1618" s="33" t="s">
        <v>1431</v>
      </c>
      <c r="AM1618" s="184" t="s">
        <v>1492</v>
      </c>
      <c r="AN1618" s="184" t="s">
        <v>1538</v>
      </c>
      <c r="AO1618" s="184">
        <v>12</v>
      </c>
    </row>
    <row r="1619" spans="36:41" x14ac:dyDescent="0.25">
      <c r="AJ1619" s="184" t="s">
        <v>2014</v>
      </c>
      <c r="AK1619" s="184" t="s">
        <v>1425</v>
      </c>
      <c r="AL1619" s="33" t="s">
        <v>1431</v>
      </c>
      <c r="AM1619" s="184" t="s">
        <v>1492</v>
      </c>
      <c r="AN1619" s="184" t="s">
        <v>1538</v>
      </c>
      <c r="AO1619" s="184">
        <v>12</v>
      </c>
    </row>
    <row r="1620" spans="36:41" x14ac:dyDescent="0.25">
      <c r="AJ1620" s="184" t="s">
        <v>2015</v>
      </c>
      <c r="AK1620" s="184" t="s">
        <v>1425</v>
      </c>
      <c r="AL1620" s="33" t="s">
        <v>1431</v>
      </c>
      <c r="AM1620" s="184" t="s">
        <v>1492</v>
      </c>
      <c r="AN1620" s="184" t="s">
        <v>1538</v>
      </c>
      <c r="AO1620" s="184">
        <v>12</v>
      </c>
    </row>
    <row r="1621" spans="36:41" x14ac:dyDescent="0.25">
      <c r="AJ1621" s="184" t="s">
        <v>2016</v>
      </c>
      <c r="AK1621" s="184" t="s">
        <v>1425</v>
      </c>
      <c r="AL1621" s="33" t="s">
        <v>1431</v>
      </c>
      <c r="AM1621" s="184" t="s">
        <v>1492</v>
      </c>
      <c r="AN1621" s="184" t="s">
        <v>1538</v>
      </c>
      <c r="AO1621" s="184">
        <v>12</v>
      </c>
    </row>
    <row r="1622" spans="36:41" x14ac:dyDescent="0.25">
      <c r="AJ1622" s="184" t="s">
        <v>2017</v>
      </c>
      <c r="AK1622" s="184" t="s">
        <v>1425</v>
      </c>
      <c r="AL1622" s="33" t="s">
        <v>1431</v>
      </c>
      <c r="AM1622" s="184" t="s">
        <v>1492</v>
      </c>
      <c r="AN1622" s="184" t="s">
        <v>1538</v>
      </c>
      <c r="AO1622" s="184">
        <v>12</v>
      </c>
    </row>
    <row r="1623" spans="36:41" x14ac:dyDescent="0.25">
      <c r="AJ1623" s="184" t="s">
        <v>2018</v>
      </c>
      <c r="AK1623" s="184" t="s">
        <v>1425</v>
      </c>
      <c r="AL1623" s="33" t="s">
        <v>1431</v>
      </c>
      <c r="AM1623" s="184" t="s">
        <v>1492</v>
      </c>
      <c r="AN1623" s="184" t="s">
        <v>1538</v>
      </c>
      <c r="AO1623" s="184">
        <v>12</v>
      </c>
    </row>
    <row r="1624" spans="36:41" x14ac:dyDescent="0.25">
      <c r="AJ1624" s="184" t="s">
        <v>2019</v>
      </c>
      <c r="AK1624" s="184" t="s">
        <v>1425</v>
      </c>
      <c r="AL1624" s="33" t="s">
        <v>1431</v>
      </c>
      <c r="AM1624" s="184" t="s">
        <v>1492</v>
      </c>
      <c r="AN1624" s="184" t="s">
        <v>1538</v>
      </c>
      <c r="AO1624" s="184">
        <v>12</v>
      </c>
    </row>
    <row r="1625" spans="36:41" x14ac:dyDescent="0.25">
      <c r="AJ1625" s="184" t="s">
        <v>2020</v>
      </c>
      <c r="AK1625" s="184" t="s">
        <v>1423</v>
      </c>
      <c r="AL1625" s="33" t="s">
        <v>1431</v>
      </c>
      <c r="AM1625" s="184" t="s">
        <v>59</v>
      </c>
      <c r="AN1625" s="184" t="s">
        <v>1537</v>
      </c>
      <c r="AO1625" s="184">
        <v>12</v>
      </c>
    </row>
    <row r="1626" spans="36:41" x14ac:dyDescent="0.25">
      <c r="AJ1626" s="184" t="s">
        <v>2021</v>
      </c>
      <c r="AK1626" s="184" t="s">
        <v>2022</v>
      </c>
      <c r="AL1626" s="33" t="s">
        <v>1431</v>
      </c>
      <c r="AM1626" s="184" t="s">
        <v>59</v>
      </c>
      <c r="AN1626" s="184" t="s">
        <v>1537</v>
      </c>
      <c r="AO1626" s="184">
        <v>12</v>
      </c>
    </row>
    <row r="1627" spans="36:41" x14ac:dyDescent="0.25">
      <c r="AJ1627" s="184" t="s">
        <v>2010</v>
      </c>
      <c r="AK1627" s="184" t="s">
        <v>1399</v>
      </c>
      <c r="AL1627" s="33" t="s">
        <v>1431</v>
      </c>
      <c r="AM1627" s="184" t="s">
        <v>59</v>
      </c>
      <c r="AN1627" s="184" t="s">
        <v>1537</v>
      </c>
      <c r="AO1627" s="184">
        <v>12</v>
      </c>
    </row>
    <row r="1628" spans="36:41" x14ac:dyDescent="0.25">
      <c r="AJ1628" s="184" t="s">
        <v>2023</v>
      </c>
      <c r="AK1628" s="184" t="s">
        <v>2024</v>
      </c>
      <c r="AL1628" s="33" t="s">
        <v>1431</v>
      </c>
      <c r="AM1628" s="184" t="s">
        <v>59</v>
      </c>
      <c r="AN1628" s="184" t="s">
        <v>1537</v>
      </c>
      <c r="AO1628" s="184">
        <v>12</v>
      </c>
    </row>
    <row r="1629" spans="36:41" x14ac:dyDescent="0.25">
      <c r="AJ1629" s="184" t="s">
        <v>2025</v>
      </c>
      <c r="AK1629" s="184" t="s">
        <v>2026</v>
      </c>
      <c r="AL1629" s="33" t="s">
        <v>1431</v>
      </c>
      <c r="AM1629" s="184" t="s">
        <v>59</v>
      </c>
      <c r="AN1629" s="184" t="s">
        <v>1537</v>
      </c>
      <c r="AO1629" s="184">
        <v>12</v>
      </c>
    </row>
    <row r="1630" spans="36:41" x14ac:dyDescent="0.25">
      <c r="AJ1630" s="184" t="s">
        <v>2027</v>
      </c>
      <c r="AK1630" s="184" t="s">
        <v>2028</v>
      </c>
      <c r="AL1630" s="33" t="s">
        <v>1431</v>
      </c>
      <c r="AM1630" s="184" t="s">
        <v>1514</v>
      </c>
      <c r="AN1630" s="184" t="s">
        <v>1538</v>
      </c>
      <c r="AO1630" s="184">
        <v>12</v>
      </c>
    </row>
    <row r="1631" spans="36:41" x14ac:dyDescent="0.25">
      <c r="AJ1631" s="184" t="s">
        <v>2029</v>
      </c>
      <c r="AK1631" s="184" t="s">
        <v>2028</v>
      </c>
      <c r="AL1631" s="33" t="s">
        <v>1431</v>
      </c>
      <c r="AM1631" s="184" t="s">
        <v>1514</v>
      </c>
      <c r="AN1631" s="184" t="s">
        <v>1538</v>
      </c>
      <c r="AO1631" s="184">
        <v>12</v>
      </c>
    </row>
    <row r="1632" spans="36:41" x14ac:dyDescent="0.25">
      <c r="AJ1632" s="184" t="s">
        <v>2030</v>
      </c>
      <c r="AK1632" s="184" t="s">
        <v>156</v>
      </c>
      <c r="AL1632" s="33" t="s">
        <v>1431</v>
      </c>
      <c r="AM1632" s="184" t="s">
        <v>59</v>
      </c>
      <c r="AN1632" s="184" t="s">
        <v>1540</v>
      </c>
      <c r="AO1632" s="184">
        <v>12</v>
      </c>
    </row>
    <row r="1633" spans="36:41" x14ac:dyDescent="0.25">
      <c r="AJ1633" s="184" t="s">
        <v>2031</v>
      </c>
      <c r="AK1633" s="184" t="s">
        <v>156</v>
      </c>
      <c r="AL1633" s="33" t="s">
        <v>1431</v>
      </c>
      <c r="AM1633" s="184" t="s">
        <v>59</v>
      </c>
      <c r="AN1633" s="184" t="s">
        <v>1540</v>
      </c>
      <c r="AO1633" s="184">
        <v>12</v>
      </c>
    </row>
    <row r="1634" spans="36:41" x14ac:dyDescent="0.25">
      <c r="AJ1634" s="184" t="s">
        <v>2032</v>
      </c>
      <c r="AK1634" s="184" t="s">
        <v>156</v>
      </c>
      <c r="AL1634" s="33" t="s">
        <v>1431</v>
      </c>
      <c r="AM1634" s="184" t="s">
        <v>59</v>
      </c>
      <c r="AN1634" s="184" t="s">
        <v>1540</v>
      </c>
      <c r="AO1634" s="184">
        <v>12</v>
      </c>
    </row>
    <row r="1635" spans="36:41" x14ac:dyDescent="0.25">
      <c r="AJ1635" s="184" t="s">
        <v>2033</v>
      </c>
      <c r="AK1635" s="184" t="s">
        <v>156</v>
      </c>
      <c r="AL1635" s="33" t="s">
        <v>1431</v>
      </c>
      <c r="AM1635" s="184" t="s">
        <v>59</v>
      </c>
      <c r="AN1635" s="184" t="s">
        <v>1540</v>
      </c>
      <c r="AO1635" s="184">
        <v>12</v>
      </c>
    </row>
    <row r="1636" spans="36:41" x14ac:dyDescent="0.25">
      <c r="AJ1636" s="184" t="s">
        <v>2034</v>
      </c>
      <c r="AK1636" s="184" t="s">
        <v>156</v>
      </c>
      <c r="AL1636" s="33" t="s">
        <v>1431</v>
      </c>
      <c r="AM1636" s="184" t="s">
        <v>59</v>
      </c>
      <c r="AN1636" s="184" t="s">
        <v>1540</v>
      </c>
      <c r="AO1636" s="184">
        <v>12</v>
      </c>
    </row>
    <row r="1637" spans="36:41" x14ac:dyDescent="0.25">
      <c r="AJ1637" s="184" t="s">
        <v>2035</v>
      </c>
      <c r="AK1637" s="184" t="s">
        <v>156</v>
      </c>
      <c r="AL1637" s="33" t="s">
        <v>1431</v>
      </c>
      <c r="AM1637" s="184" t="s">
        <v>59</v>
      </c>
      <c r="AN1637" s="184" t="s">
        <v>1540</v>
      </c>
      <c r="AO1637" s="184">
        <v>12</v>
      </c>
    </row>
    <row r="1638" spans="36:41" x14ac:dyDescent="0.25">
      <c r="AJ1638" s="184" t="s">
        <v>2036</v>
      </c>
      <c r="AK1638" s="184" t="s">
        <v>156</v>
      </c>
      <c r="AL1638" s="33" t="s">
        <v>1431</v>
      </c>
      <c r="AM1638" s="184" t="s">
        <v>59</v>
      </c>
      <c r="AN1638" s="184" t="s">
        <v>1540</v>
      </c>
      <c r="AO1638" s="184">
        <v>12</v>
      </c>
    </row>
    <row r="1639" spans="36:41" x14ac:dyDescent="0.25">
      <c r="AJ1639" s="184" t="s">
        <v>2037</v>
      </c>
      <c r="AK1639" s="184" t="s">
        <v>156</v>
      </c>
      <c r="AL1639" s="33" t="s">
        <v>1431</v>
      </c>
      <c r="AM1639" s="184" t="s">
        <v>59</v>
      </c>
      <c r="AN1639" s="184" t="s">
        <v>1540</v>
      </c>
      <c r="AO1639" s="184">
        <v>12</v>
      </c>
    </row>
    <row r="1640" spans="36:41" x14ac:dyDescent="0.25">
      <c r="AJ1640" s="184" t="s">
        <v>2038</v>
      </c>
      <c r="AK1640" s="184" t="s">
        <v>156</v>
      </c>
      <c r="AL1640" s="33" t="s">
        <v>1431</v>
      </c>
      <c r="AM1640" s="184" t="s">
        <v>59</v>
      </c>
      <c r="AN1640" s="184" t="s">
        <v>1540</v>
      </c>
      <c r="AO1640" s="184">
        <v>12</v>
      </c>
    </row>
    <row r="1641" spans="36:41" x14ac:dyDescent="0.25">
      <c r="AJ1641" s="184" t="s">
        <v>2039</v>
      </c>
      <c r="AK1641" s="184" t="s">
        <v>156</v>
      </c>
      <c r="AL1641" s="33" t="s">
        <v>1431</v>
      </c>
      <c r="AM1641" s="184" t="s">
        <v>59</v>
      </c>
      <c r="AN1641" s="184" t="s">
        <v>1540</v>
      </c>
      <c r="AO1641" s="184">
        <v>12</v>
      </c>
    </row>
    <row r="1642" spans="36:41" x14ac:dyDescent="0.25">
      <c r="AJ1642" s="184" t="s">
        <v>2040</v>
      </c>
      <c r="AK1642" s="184" t="s">
        <v>156</v>
      </c>
      <c r="AL1642" s="33" t="s">
        <v>1431</v>
      </c>
      <c r="AM1642" s="184" t="s">
        <v>59</v>
      </c>
      <c r="AN1642" s="184" t="s">
        <v>1540</v>
      </c>
      <c r="AO1642" s="184">
        <v>12</v>
      </c>
    </row>
    <row r="1643" spans="36:41" x14ac:dyDescent="0.25">
      <c r="AJ1643" s="184" t="s">
        <v>2041</v>
      </c>
      <c r="AK1643" s="184" t="s">
        <v>156</v>
      </c>
      <c r="AL1643" s="33" t="s">
        <v>1431</v>
      </c>
      <c r="AM1643" s="184" t="s">
        <v>59</v>
      </c>
      <c r="AN1643" s="184" t="s">
        <v>1540</v>
      </c>
      <c r="AO1643" s="184">
        <v>12</v>
      </c>
    </row>
    <row r="1644" spans="36:41" x14ac:dyDescent="0.25">
      <c r="AJ1644" s="184" t="s">
        <v>2042</v>
      </c>
      <c r="AK1644" s="184" t="s">
        <v>156</v>
      </c>
      <c r="AL1644" s="33" t="s">
        <v>1431</v>
      </c>
      <c r="AM1644" s="184" t="s">
        <v>59</v>
      </c>
      <c r="AN1644" s="184" t="s">
        <v>1540</v>
      </c>
      <c r="AO1644" s="184">
        <v>12</v>
      </c>
    </row>
    <row r="1645" spans="36:41" x14ac:dyDescent="0.25">
      <c r="AJ1645" s="184" t="s">
        <v>2043</v>
      </c>
      <c r="AK1645" s="184" t="s">
        <v>156</v>
      </c>
      <c r="AL1645" s="33" t="s">
        <v>1431</v>
      </c>
      <c r="AM1645" s="184" t="s">
        <v>59</v>
      </c>
      <c r="AN1645" s="184" t="s">
        <v>1540</v>
      </c>
      <c r="AO1645" s="184">
        <v>12</v>
      </c>
    </row>
    <row r="1646" spans="36:41" x14ac:dyDescent="0.25">
      <c r="AJ1646" s="184" t="s">
        <v>2044</v>
      </c>
      <c r="AK1646" s="184" t="s">
        <v>156</v>
      </c>
      <c r="AL1646" s="33" t="s">
        <v>1431</v>
      </c>
      <c r="AM1646" s="184" t="s">
        <v>59</v>
      </c>
      <c r="AN1646" s="184" t="s">
        <v>1540</v>
      </c>
      <c r="AO1646" s="184">
        <v>12</v>
      </c>
    </row>
    <row r="1647" spans="36:41" x14ac:dyDescent="0.25">
      <c r="AJ1647" s="184" t="s">
        <v>2045</v>
      </c>
      <c r="AK1647" s="184" t="s">
        <v>156</v>
      </c>
      <c r="AL1647" s="33" t="s">
        <v>1431</v>
      </c>
      <c r="AM1647" s="184" t="s">
        <v>59</v>
      </c>
      <c r="AN1647" s="184" t="s">
        <v>1540</v>
      </c>
      <c r="AO1647" s="184">
        <v>12</v>
      </c>
    </row>
    <row r="1648" spans="36:41" x14ac:dyDescent="0.25">
      <c r="AJ1648" s="184" t="s">
        <v>2046</v>
      </c>
      <c r="AK1648" s="184" t="s">
        <v>156</v>
      </c>
      <c r="AL1648" s="33" t="s">
        <v>1431</v>
      </c>
      <c r="AM1648" s="184" t="s">
        <v>59</v>
      </c>
      <c r="AN1648" s="184" t="s">
        <v>1540</v>
      </c>
      <c r="AO1648" s="184">
        <v>12</v>
      </c>
    </row>
    <row r="1649" spans="36:41" x14ac:dyDescent="0.25">
      <c r="AJ1649" s="184" t="s">
        <v>2047</v>
      </c>
      <c r="AK1649" s="184" t="s">
        <v>2048</v>
      </c>
      <c r="AL1649" s="33" t="s">
        <v>1433</v>
      </c>
      <c r="AM1649" s="184" t="s">
        <v>2070</v>
      </c>
      <c r="AN1649" s="184" t="s">
        <v>1540</v>
      </c>
      <c r="AO1649" s="184">
        <v>24</v>
      </c>
    </row>
    <row r="1650" spans="36:41" x14ac:dyDescent="0.25">
      <c r="AJ1650" s="184" t="s">
        <v>2049</v>
      </c>
      <c r="AK1650" s="184" t="s">
        <v>2048</v>
      </c>
      <c r="AL1650" s="33" t="s">
        <v>1433</v>
      </c>
      <c r="AM1650" s="184" t="s">
        <v>2071</v>
      </c>
      <c r="AN1650" s="184" t="s">
        <v>2071</v>
      </c>
      <c r="AO1650" s="184">
        <v>24</v>
      </c>
    </row>
    <row r="1651" spans="36:41" x14ac:dyDescent="0.25">
      <c r="AJ1651" s="184" t="s">
        <v>2050</v>
      </c>
      <c r="AK1651" s="184" t="s">
        <v>83</v>
      </c>
      <c r="AL1651" s="33" t="s">
        <v>1431</v>
      </c>
      <c r="AM1651" s="184" t="s">
        <v>1457</v>
      </c>
      <c r="AN1651" s="184" t="s">
        <v>137</v>
      </c>
      <c r="AO1651" s="184">
        <v>12</v>
      </c>
    </row>
    <row r="1652" spans="36:41" x14ac:dyDescent="0.25">
      <c r="AJ1652" s="184" t="s">
        <v>2051</v>
      </c>
      <c r="AK1652" s="184" t="s">
        <v>83</v>
      </c>
      <c r="AL1652" s="33" t="s">
        <v>1431</v>
      </c>
      <c r="AM1652" s="184" t="s">
        <v>1444</v>
      </c>
      <c r="AN1652" s="184" t="s">
        <v>137</v>
      </c>
      <c r="AO1652" s="184">
        <v>12</v>
      </c>
    </row>
    <row r="1653" spans="36:41" x14ac:dyDescent="0.25">
      <c r="AJ1653" s="184" t="s">
        <v>2052</v>
      </c>
      <c r="AK1653" s="184" t="s">
        <v>1665</v>
      </c>
      <c r="AL1653" s="33" t="s">
        <v>1431</v>
      </c>
      <c r="AM1653" s="184" t="s">
        <v>1482</v>
      </c>
      <c r="AN1653" s="184" t="s">
        <v>1538</v>
      </c>
      <c r="AO1653" s="184">
        <v>12</v>
      </c>
    </row>
    <row r="1654" spans="36:41" x14ac:dyDescent="0.25">
      <c r="AJ1654" s="184" t="s">
        <v>2053</v>
      </c>
      <c r="AK1654" s="184" t="s">
        <v>143</v>
      </c>
      <c r="AL1654" s="33" t="s">
        <v>1431</v>
      </c>
      <c r="AM1654" s="184" t="s">
        <v>2072</v>
      </c>
      <c r="AN1654" s="184" t="s">
        <v>137</v>
      </c>
      <c r="AO1654" s="184">
        <v>6</v>
      </c>
    </row>
    <row r="1655" spans="36:41" x14ac:dyDescent="0.25">
      <c r="AJ1655" s="184" t="s">
        <v>2054</v>
      </c>
      <c r="AK1655" s="184" t="s">
        <v>143</v>
      </c>
      <c r="AL1655" s="33" t="s">
        <v>1431</v>
      </c>
      <c r="AM1655" s="184" t="s">
        <v>2073</v>
      </c>
      <c r="AN1655" s="184" t="s">
        <v>137</v>
      </c>
      <c r="AO1655" s="184">
        <v>6</v>
      </c>
    </row>
    <row r="1656" spans="36:41" x14ac:dyDescent="0.25">
      <c r="AJ1656" s="184" t="s">
        <v>2055</v>
      </c>
      <c r="AK1656" s="184" t="s">
        <v>143</v>
      </c>
      <c r="AL1656" s="33" t="s">
        <v>1431</v>
      </c>
      <c r="AM1656" s="184" t="s">
        <v>2073</v>
      </c>
      <c r="AN1656" s="184" t="s">
        <v>137</v>
      </c>
      <c r="AO1656" s="184">
        <v>6</v>
      </c>
    </row>
    <row r="1657" spans="36:41" x14ac:dyDescent="0.25">
      <c r="AJ1657" s="184" t="s">
        <v>2056</v>
      </c>
      <c r="AK1657" s="184" t="s">
        <v>143</v>
      </c>
      <c r="AL1657" s="33" t="s">
        <v>1431</v>
      </c>
      <c r="AM1657" s="184" t="s">
        <v>2073</v>
      </c>
      <c r="AN1657" s="184" t="s">
        <v>137</v>
      </c>
      <c r="AO1657" s="184">
        <v>6</v>
      </c>
    </row>
    <row r="1658" spans="36:41" x14ac:dyDescent="0.25">
      <c r="AJ1658" s="184" t="s">
        <v>2057</v>
      </c>
      <c r="AK1658" s="184" t="s">
        <v>153</v>
      </c>
      <c r="AL1658" s="33" t="s">
        <v>1431</v>
      </c>
      <c r="AM1658" s="184" t="s">
        <v>2074</v>
      </c>
      <c r="AN1658" s="184" t="s">
        <v>1535</v>
      </c>
      <c r="AO1658" s="184">
        <v>12</v>
      </c>
    </row>
    <row r="1659" spans="36:41" x14ac:dyDescent="0.25">
      <c r="AJ1659" s="184" t="s">
        <v>2058</v>
      </c>
      <c r="AK1659" s="184" t="s">
        <v>153</v>
      </c>
      <c r="AL1659" s="33" t="s">
        <v>1431</v>
      </c>
      <c r="AM1659" s="184" t="s">
        <v>2074</v>
      </c>
      <c r="AN1659" s="184" t="s">
        <v>1535</v>
      </c>
      <c r="AO1659" s="184">
        <v>12</v>
      </c>
    </row>
    <row r="1660" spans="36:41" x14ac:dyDescent="0.25">
      <c r="AJ1660" s="184" t="s">
        <v>2059</v>
      </c>
      <c r="AK1660" s="184" t="s">
        <v>153</v>
      </c>
      <c r="AL1660" s="33" t="s">
        <v>1431</v>
      </c>
      <c r="AM1660" s="184" t="s">
        <v>2075</v>
      </c>
      <c r="AN1660" s="184" t="s">
        <v>1535</v>
      </c>
      <c r="AO1660" s="184">
        <v>12</v>
      </c>
    </row>
    <row r="1661" spans="36:41" x14ac:dyDescent="0.25">
      <c r="AJ1661" s="184" t="s">
        <v>2060</v>
      </c>
      <c r="AK1661" s="184" t="s">
        <v>153</v>
      </c>
      <c r="AL1661" s="33" t="s">
        <v>1431</v>
      </c>
      <c r="AM1661" s="184" t="s">
        <v>2075</v>
      </c>
      <c r="AN1661" s="184" t="s">
        <v>1535</v>
      </c>
      <c r="AO1661" s="184">
        <v>12</v>
      </c>
    </row>
    <row r="1662" spans="36:41" x14ac:dyDescent="0.25">
      <c r="AJ1662" s="184" t="s">
        <v>2061</v>
      </c>
      <c r="AK1662" s="184" t="s">
        <v>153</v>
      </c>
      <c r="AL1662" s="33" t="s">
        <v>1431</v>
      </c>
      <c r="AM1662" s="184" t="s">
        <v>2076</v>
      </c>
      <c r="AN1662" s="184" t="s">
        <v>1535</v>
      </c>
      <c r="AO1662" s="184">
        <v>12</v>
      </c>
    </row>
    <row r="1663" spans="36:41" x14ac:dyDescent="0.25">
      <c r="AJ1663" s="184" t="s">
        <v>2062</v>
      </c>
      <c r="AK1663" s="184" t="s">
        <v>153</v>
      </c>
      <c r="AL1663" s="33" t="s">
        <v>1431</v>
      </c>
      <c r="AM1663" s="184" t="s">
        <v>2074</v>
      </c>
      <c r="AN1663" s="184" t="s">
        <v>1535</v>
      </c>
      <c r="AO1663" s="184">
        <v>12</v>
      </c>
    </row>
    <row r="1664" spans="36:41" x14ac:dyDescent="0.25">
      <c r="AJ1664" s="184" t="s">
        <v>2063</v>
      </c>
      <c r="AK1664" s="184" t="s">
        <v>143</v>
      </c>
      <c r="AL1664" s="33" t="s">
        <v>1431</v>
      </c>
      <c r="AM1664" s="184" t="s">
        <v>2077</v>
      </c>
      <c r="AN1664" s="184" t="s">
        <v>137</v>
      </c>
      <c r="AO1664" s="184">
        <v>6</v>
      </c>
    </row>
    <row r="1665" spans="36:41" x14ac:dyDescent="0.25">
      <c r="AJ1665" s="184" t="s">
        <v>2064</v>
      </c>
      <c r="AK1665" s="184" t="s">
        <v>143</v>
      </c>
      <c r="AL1665" s="33" t="s">
        <v>1431</v>
      </c>
      <c r="AM1665" s="184" t="s">
        <v>2077</v>
      </c>
      <c r="AN1665" s="184" t="s">
        <v>137</v>
      </c>
      <c r="AO1665" s="184">
        <v>6</v>
      </c>
    </row>
    <row r="1666" spans="36:41" x14ac:dyDescent="0.25">
      <c r="AJ1666" s="184" t="s">
        <v>2065</v>
      </c>
      <c r="AK1666" s="184" t="s">
        <v>143</v>
      </c>
      <c r="AL1666" s="33" t="s">
        <v>1431</v>
      </c>
      <c r="AM1666" s="184" t="s">
        <v>2077</v>
      </c>
      <c r="AN1666" s="184" t="s">
        <v>137</v>
      </c>
      <c r="AO1666" s="184">
        <v>6</v>
      </c>
    </row>
    <row r="1667" spans="36:41" x14ac:dyDescent="0.25">
      <c r="AJ1667" s="184" t="s">
        <v>2066</v>
      </c>
      <c r="AK1667" s="184" t="s">
        <v>143</v>
      </c>
      <c r="AL1667" s="33" t="s">
        <v>1431</v>
      </c>
      <c r="AM1667" s="184" t="s">
        <v>2077</v>
      </c>
      <c r="AN1667" s="184" t="s">
        <v>137</v>
      </c>
      <c r="AO1667" s="184">
        <v>6</v>
      </c>
    </row>
    <row r="1668" spans="36:41" x14ac:dyDescent="0.25">
      <c r="AJ1668" s="184" t="s">
        <v>2067</v>
      </c>
      <c r="AK1668" s="184" t="s">
        <v>143</v>
      </c>
      <c r="AL1668" s="33" t="s">
        <v>1431</v>
      </c>
      <c r="AM1668" s="184" t="s">
        <v>1444</v>
      </c>
      <c r="AN1668" s="184" t="s">
        <v>137</v>
      </c>
      <c r="AO1668" s="184">
        <v>6</v>
      </c>
    </row>
    <row r="1669" spans="36:41" x14ac:dyDescent="0.25">
      <c r="AJ1669" s="184" t="s">
        <v>2068</v>
      </c>
      <c r="AK1669" s="184" t="s">
        <v>143</v>
      </c>
      <c r="AL1669" s="33" t="s">
        <v>1431</v>
      </c>
      <c r="AM1669" s="184" t="s">
        <v>1444</v>
      </c>
      <c r="AN1669" s="184" t="s">
        <v>137</v>
      </c>
      <c r="AO1669" s="184">
        <v>6</v>
      </c>
    </row>
    <row r="1670" spans="36:41" ht="13" x14ac:dyDescent="0.3">
      <c r="AJ1670" s="184" t="s">
        <v>2069</v>
      </c>
      <c r="AK1670" s="33" t="s">
        <v>143</v>
      </c>
      <c r="AL1670" s="33" t="s">
        <v>1431</v>
      </c>
      <c r="AM1670" s="190" t="s">
        <v>1444</v>
      </c>
      <c r="AN1670" s="190" t="s">
        <v>137</v>
      </c>
      <c r="AO1670" s="191">
        <v>6</v>
      </c>
    </row>
    <row r="1671" spans="36:41" ht="13" x14ac:dyDescent="0.3">
      <c r="AJ1671" s="184" t="s">
        <v>2079</v>
      </c>
      <c r="AK1671" s="184" t="s">
        <v>143</v>
      </c>
      <c r="AL1671" s="33" t="s">
        <v>1431</v>
      </c>
      <c r="AM1671" s="190" t="s">
        <v>2327</v>
      </c>
      <c r="AN1671" s="190" t="s">
        <v>137</v>
      </c>
      <c r="AO1671" s="191">
        <v>6</v>
      </c>
    </row>
    <row r="1672" spans="36:41" ht="13" x14ac:dyDescent="0.3">
      <c r="AJ1672" s="184" t="s">
        <v>2080</v>
      </c>
      <c r="AK1672" s="184" t="s">
        <v>153</v>
      </c>
      <c r="AL1672" s="33" t="s">
        <v>1431</v>
      </c>
      <c r="AM1672" s="190" t="s">
        <v>2074</v>
      </c>
      <c r="AN1672" s="190" t="s">
        <v>1535</v>
      </c>
      <c r="AO1672" s="191">
        <v>12</v>
      </c>
    </row>
    <row r="1673" spans="36:41" ht="13" x14ac:dyDescent="0.3">
      <c r="AJ1673" s="184" t="s">
        <v>2081</v>
      </c>
      <c r="AK1673" s="184" t="s">
        <v>153</v>
      </c>
      <c r="AL1673" s="33" t="s">
        <v>1431</v>
      </c>
      <c r="AM1673" s="190" t="s">
        <v>2074</v>
      </c>
      <c r="AN1673" s="190" t="s">
        <v>1535</v>
      </c>
      <c r="AO1673" s="191">
        <v>12</v>
      </c>
    </row>
    <row r="1674" spans="36:41" ht="13" x14ac:dyDescent="0.3">
      <c r="AJ1674" s="184" t="s">
        <v>2082</v>
      </c>
      <c r="AK1674" s="184" t="s">
        <v>153</v>
      </c>
      <c r="AL1674" s="33" t="s">
        <v>1431</v>
      </c>
      <c r="AM1674" s="190" t="s">
        <v>2074</v>
      </c>
      <c r="AN1674" s="190" t="s">
        <v>1535</v>
      </c>
      <c r="AO1674" s="191">
        <v>12</v>
      </c>
    </row>
    <row r="1675" spans="36:41" ht="13" x14ac:dyDescent="0.3">
      <c r="AJ1675" s="184" t="s">
        <v>2083</v>
      </c>
      <c r="AK1675" s="184" t="s">
        <v>153</v>
      </c>
      <c r="AL1675" s="33" t="s">
        <v>1431</v>
      </c>
      <c r="AM1675" s="190" t="s">
        <v>2074</v>
      </c>
      <c r="AN1675" s="190" t="s">
        <v>1535</v>
      </c>
      <c r="AO1675" s="191">
        <v>12</v>
      </c>
    </row>
    <row r="1676" spans="36:41" ht="13" x14ac:dyDescent="0.3">
      <c r="AJ1676" s="184" t="s">
        <v>2084</v>
      </c>
      <c r="AK1676" s="184" t="s">
        <v>153</v>
      </c>
      <c r="AL1676" s="33" t="s">
        <v>1431</v>
      </c>
      <c r="AM1676" s="190" t="s">
        <v>2074</v>
      </c>
      <c r="AN1676" s="190" t="s">
        <v>1535</v>
      </c>
      <c r="AO1676" s="191">
        <v>12</v>
      </c>
    </row>
    <row r="1677" spans="36:41" ht="13" x14ac:dyDescent="0.3">
      <c r="AJ1677" s="184" t="s">
        <v>2085</v>
      </c>
      <c r="AK1677" s="184" t="s">
        <v>153</v>
      </c>
      <c r="AL1677" s="33" t="s">
        <v>1431</v>
      </c>
      <c r="AM1677" s="190" t="s">
        <v>2074</v>
      </c>
      <c r="AN1677" s="190" t="s">
        <v>1535</v>
      </c>
      <c r="AO1677" s="191">
        <v>12</v>
      </c>
    </row>
    <row r="1678" spans="36:41" ht="13" x14ac:dyDescent="0.3">
      <c r="AJ1678" s="184" t="s">
        <v>2086</v>
      </c>
      <c r="AK1678" s="184" t="s">
        <v>153</v>
      </c>
      <c r="AL1678" s="33" t="s">
        <v>1431</v>
      </c>
      <c r="AM1678" s="190" t="s">
        <v>2074</v>
      </c>
      <c r="AN1678" s="190" t="s">
        <v>1535</v>
      </c>
      <c r="AO1678" s="191">
        <v>12</v>
      </c>
    </row>
    <row r="1679" spans="36:41" ht="13" x14ac:dyDescent="0.3">
      <c r="AJ1679" s="184" t="s">
        <v>2087</v>
      </c>
      <c r="AK1679" s="184" t="s">
        <v>153</v>
      </c>
      <c r="AL1679" s="33" t="s">
        <v>1431</v>
      </c>
      <c r="AM1679" s="190" t="s">
        <v>2074</v>
      </c>
      <c r="AN1679" s="190" t="s">
        <v>1535</v>
      </c>
      <c r="AO1679" s="191">
        <v>12</v>
      </c>
    </row>
    <row r="1680" spans="36:41" ht="13" x14ac:dyDescent="0.3">
      <c r="AJ1680" s="184" t="s">
        <v>2088</v>
      </c>
      <c r="AK1680" s="184" t="s">
        <v>153</v>
      </c>
      <c r="AL1680" s="33" t="s">
        <v>1431</v>
      </c>
      <c r="AM1680" s="190" t="s">
        <v>2074</v>
      </c>
      <c r="AN1680" s="190" t="s">
        <v>1535</v>
      </c>
      <c r="AO1680" s="191">
        <v>12</v>
      </c>
    </row>
    <row r="1681" spans="36:41" ht="13" x14ac:dyDescent="0.3">
      <c r="AJ1681" s="184" t="s">
        <v>2089</v>
      </c>
      <c r="AK1681" s="184" t="s">
        <v>153</v>
      </c>
      <c r="AL1681" s="33" t="s">
        <v>1431</v>
      </c>
      <c r="AM1681" s="190" t="s">
        <v>2074</v>
      </c>
      <c r="AN1681" s="190" t="s">
        <v>1535</v>
      </c>
      <c r="AO1681" s="191">
        <v>12</v>
      </c>
    </row>
    <row r="1682" spans="36:41" ht="13" x14ac:dyDescent="0.3">
      <c r="AJ1682" s="184" t="s">
        <v>2090</v>
      </c>
      <c r="AK1682" s="184" t="s">
        <v>153</v>
      </c>
      <c r="AL1682" s="33" t="s">
        <v>1431</v>
      </c>
      <c r="AM1682" s="190" t="s">
        <v>2074</v>
      </c>
      <c r="AN1682" s="190" t="s">
        <v>1535</v>
      </c>
      <c r="AO1682" s="191">
        <v>12</v>
      </c>
    </row>
    <row r="1683" spans="36:41" ht="13" x14ac:dyDescent="0.3">
      <c r="AJ1683" s="184" t="s">
        <v>2091</v>
      </c>
      <c r="AK1683" s="184" t="s">
        <v>153</v>
      </c>
      <c r="AL1683" s="33" t="s">
        <v>1431</v>
      </c>
      <c r="AM1683" s="190" t="s">
        <v>2074</v>
      </c>
      <c r="AN1683" s="190" t="s">
        <v>1535</v>
      </c>
      <c r="AO1683" s="191">
        <v>12</v>
      </c>
    </row>
    <row r="1684" spans="36:41" ht="13" x14ac:dyDescent="0.3">
      <c r="AJ1684" s="184" t="s">
        <v>2092</v>
      </c>
      <c r="AK1684" s="184" t="s">
        <v>153</v>
      </c>
      <c r="AL1684" s="33" t="s">
        <v>1431</v>
      </c>
      <c r="AM1684" s="190" t="s">
        <v>2074</v>
      </c>
      <c r="AN1684" s="190" t="s">
        <v>1535</v>
      </c>
      <c r="AO1684" s="191">
        <v>12</v>
      </c>
    </row>
    <row r="1685" spans="36:41" ht="13" x14ac:dyDescent="0.3">
      <c r="AJ1685" s="184" t="s">
        <v>2093</v>
      </c>
      <c r="AK1685" s="184" t="s">
        <v>153</v>
      </c>
      <c r="AL1685" s="33" t="s">
        <v>1431</v>
      </c>
      <c r="AM1685" s="190" t="s">
        <v>2074</v>
      </c>
      <c r="AN1685" s="190" t="s">
        <v>1535</v>
      </c>
      <c r="AO1685" s="191">
        <v>12</v>
      </c>
    </row>
    <row r="1686" spans="36:41" ht="13" x14ac:dyDescent="0.3">
      <c r="AJ1686" s="184" t="s">
        <v>2094</v>
      </c>
      <c r="AK1686" s="184" t="s">
        <v>153</v>
      </c>
      <c r="AL1686" s="33" t="s">
        <v>1431</v>
      </c>
      <c r="AM1686" s="190" t="s">
        <v>2074</v>
      </c>
      <c r="AN1686" s="190" t="s">
        <v>1535</v>
      </c>
      <c r="AO1686" s="191">
        <v>12</v>
      </c>
    </row>
    <row r="1687" spans="36:41" ht="13" x14ac:dyDescent="0.3">
      <c r="AJ1687" s="184" t="s">
        <v>2095</v>
      </c>
      <c r="AK1687" s="184" t="s">
        <v>153</v>
      </c>
      <c r="AL1687" s="33" t="s">
        <v>1431</v>
      </c>
      <c r="AM1687" s="190" t="s">
        <v>2074</v>
      </c>
      <c r="AN1687" s="190" t="s">
        <v>1535</v>
      </c>
      <c r="AO1687" s="191">
        <v>12</v>
      </c>
    </row>
    <row r="1688" spans="36:41" ht="13" x14ac:dyDescent="0.3">
      <c r="AJ1688" s="184" t="s">
        <v>2096</v>
      </c>
      <c r="AK1688" s="184" t="s">
        <v>153</v>
      </c>
      <c r="AL1688" s="33" t="s">
        <v>1431</v>
      </c>
      <c r="AM1688" s="190" t="s">
        <v>2074</v>
      </c>
      <c r="AN1688" s="190" t="s">
        <v>1535</v>
      </c>
      <c r="AO1688" s="191">
        <v>12</v>
      </c>
    </row>
    <row r="1689" spans="36:41" ht="13" x14ac:dyDescent="0.3">
      <c r="AJ1689" s="184" t="s">
        <v>2097</v>
      </c>
      <c r="AK1689" s="184" t="s">
        <v>153</v>
      </c>
      <c r="AL1689" s="33" t="s">
        <v>1431</v>
      </c>
      <c r="AM1689" s="190" t="s">
        <v>2074</v>
      </c>
      <c r="AN1689" s="190" t="s">
        <v>1535</v>
      </c>
      <c r="AO1689" s="191">
        <v>12</v>
      </c>
    </row>
    <row r="1690" spans="36:41" ht="13" x14ac:dyDescent="0.3">
      <c r="AJ1690" s="184" t="s">
        <v>2098</v>
      </c>
      <c r="AK1690" s="184" t="s">
        <v>153</v>
      </c>
      <c r="AL1690" s="33" t="s">
        <v>1431</v>
      </c>
      <c r="AM1690" s="190" t="s">
        <v>2074</v>
      </c>
      <c r="AN1690" s="190" t="s">
        <v>1535</v>
      </c>
      <c r="AO1690" s="191">
        <v>12</v>
      </c>
    </row>
    <row r="1691" spans="36:41" ht="13" x14ac:dyDescent="0.3">
      <c r="AJ1691" s="184" t="s">
        <v>2099</v>
      </c>
      <c r="AK1691" s="184" t="s">
        <v>153</v>
      </c>
      <c r="AL1691" s="33" t="s">
        <v>1431</v>
      </c>
      <c r="AM1691" s="190" t="s">
        <v>2074</v>
      </c>
      <c r="AN1691" s="190" t="s">
        <v>1535</v>
      </c>
      <c r="AO1691" s="191">
        <v>12</v>
      </c>
    </row>
    <row r="1692" spans="36:41" ht="13" x14ac:dyDescent="0.3">
      <c r="AJ1692" s="184" t="s">
        <v>2100</v>
      </c>
      <c r="AK1692" s="184" t="s">
        <v>153</v>
      </c>
      <c r="AL1692" s="33" t="s">
        <v>1431</v>
      </c>
      <c r="AM1692" s="190" t="s">
        <v>2074</v>
      </c>
      <c r="AN1692" s="190" t="s">
        <v>1535</v>
      </c>
      <c r="AO1692" s="191">
        <v>12</v>
      </c>
    </row>
    <row r="1693" spans="36:41" ht="13" x14ac:dyDescent="0.3">
      <c r="AJ1693" s="184" t="s">
        <v>2101</v>
      </c>
      <c r="AK1693" s="184" t="s">
        <v>153</v>
      </c>
      <c r="AL1693" s="33" t="s">
        <v>1431</v>
      </c>
      <c r="AM1693" s="190" t="s">
        <v>2074</v>
      </c>
      <c r="AN1693" s="190" t="s">
        <v>1535</v>
      </c>
      <c r="AO1693" s="191">
        <v>12</v>
      </c>
    </row>
    <row r="1694" spans="36:41" ht="13" x14ac:dyDescent="0.3">
      <c r="AJ1694" s="184" t="s">
        <v>2102</v>
      </c>
      <c r="AK1694" s="184" t="s">
        <v>153</v>
      </c>
      <c r="AL1694" s="33" t="s">
        <v>1431</v>
      </c>
      <c r="AM1694" s="190" t="s">
        <v>2074</v>
      </c>
      <c r="AN1694" s="190" t="s">
        <v>1535</v>
      </c>
      <c r="AO1694" s="191">
        <v>12</v>
      </c>
    </row>
    <row r="1695" spans="36:41" ht="13" x14ac:dyDescent="0.3">
      <c r="AJ1695" s="184" t="s">
        <v>2103</v>
      </c>
      <c r="AK1695" s="184" t="s">
        <v>153</v>
      </c>
      <c r="AL1695" s="33" t="s">
        <v>1431</v>
      </c>
      <c r="AM1695" s="190" t="s">
        <v>2074</v>
      </c>
      <c r="AN1695" s="190" t="s">
        <v>1535</v>
      </c>
      <c r="AO1695" s="191">
        <v>12</v>
      </c>
    </row>
    <row r="1696" spans="36:41" ht="13" x14ac:dyDescent="0.3">
      <c r="AJ1696" s="184" t="s">
        <v>2104</v>
      </c>
      <c r="AK1696" s="184" t="s">
        <v>153</v>
      </c>
      <c r="AL1696" s="33" t="s">
        <v>1431</v>
      </c>
      <c r="AM1696" s="190" t="s">
        <v>2074</v>
      </c>
      <c r="AN1696" s="190" t="s">
        <v>1535</v>
      </c>
      <c r="AO1696" s="191">
        <v>12</v>
      </c>
    </row>
    <row r="1697" spans="36:41" ht="13" x14ac:dyDescent="0.3">
      <c r="AJ1697" s="184" t="s">
        <v>2105</v>
      </c>
      <c r="AK1697" s="184" t="s">
        <v>153</v>
      </c>
      <c r="AL1697" s="33" t="s">
        <v>1431</v>
      </c>
      <c r="AM1697" s="190" t="s">
        <v>2074</v>
      </c>
      <c r="AN1697" s="190" t="s">
        <v>1535</v>
      </c>
      <c r="AO1697" s="191">
        <v>12</v>
      </c>
    </row>
    <row r="1698" spans="36:41" ht="13" x14ac:dyDescent="0.3">
      <c r="AJ1698" s="184" t="s">
        <v>2106</v>
      </c>
      <c r="AK1698" s="184" t="s">
        <v>153</v>
      </c>
      <c r="AL1698" s="33" t="s">
        <v>1431</v>
      </c>
      <c r="AM1698" s="190" t="s">
        <v>2074</v>
      </c>
      <c r="AN1698" s="190" t="s">
        <v>1535</v>
      </c>
      <c r="AO1698" s="191">
        <v>12</v>
      </c>
    </row>
    <row r="1699" spans="36:41" ht="13" x14ac:dyDescent="0.3">
      <c r="AJ1699" s="184" t="s">
        <v>2107</v>
      </c>
      <c r="AK1699" s="184" t="s">
        <v>153</v>
      </c>
      <c r="AL1699" s="33" t="s">
        <v>1431</v>
      </c>
      <c r="AM1699" s="190" t="s">
        <v>2074</v>
      </c>
      <c r="AN1699" s="190" t="s">
        <v>1535</v>
      </c>
      <c r="AO1699" s="191">
        <v>12</v>
      </c>
    </row>
    <row r="1700" spans="36:41" ht="13" x14ac:dyDescent="0.3">
      <c r="AJ1700" s="184" t="s">
        <v>2108</v>
      </c>
      <c r="AK1700" s="184" t="s">
        <v>153</v>
      </c>
      <c r="AL1700" s="33" t="s">
        <v>1431</v>
      </c>
      <c r="AM1700" s="190" t="s">
        <v>2074</v>
      </c>
      <c r="AN1700" s="190" t="s">
        <v>1535</v>
      </c>
      <c r="AO1700" s="191">
        <v>12</v>
      </c>
    </row>
    <row r="1701" spans="36:41" ht="13" x14ac:dyDescent="0.3">
      <c r="AJ1701" s="184" t="s">
        <v>2109</v>
      </c>
      <c r="AK1701" s="184" t="s">
        <v>153</v>
      </c>
      <c r="AL1701" s="33" t="s">
        <v>1431</v>
      </c>
      <c r="AM1701" s="190" t="s">
        <v>2074</v>
      </c>
      <c r="AN1701" s="190" t="s">
        <v>1535</v>
      </c>
      <c r="AO1701" s="191">
        <v>12</v>
      </c>
    </row>
    <row r="1702" spans="36:41" ht="13" x14ac:dyDescent="0.3">
      <c r="AJ1702" s="184" t="s">
        <v>2110</v>
      </c>
      <c r="AK1702" s="184" t="s">
        <v>153</v>
      </c>
      <c r="AL1702" s="33" t="s">
        <v>1431</v>
      </c>
      <c r="AM1702" s="190" t="s">
        <v>2074</v>
      </c>
      <c r="AN1702" s="190" t="s">
        <v>1535</v>
      </c>
      <c r="AO1702" s="191">
        <v>12</v>
      </c>
    </row>
    <row r="1703" spans="36:41" ht="13" x14ac:dyDescent="0.3">
      <c r="AJ1703" s="184" t="s">
        <v>2111</v>
      </c>
      <c r="AK1703" s="184" t="s">
        <v>153</v>
      </c>
      <c r="AL1703" s="33" t="s">
        <v>1431</v>
      </c>
      <c r="AM1703" s="190" t="s">
        <v>2074</v>
      </c>
      <c r="AN1703" s="190" t="s">
        <v>1535</v>
      </c>
      <c r="AO1703" s="191">
        <v>12</v>
      </c>
    </row>
    <row r="1704" spans="36:41" ht="13" x14ac:dyDescent="0.3">
      <c r="AJ1704" s="184" t="s">
        <v>2112</v>
      </c>
      <c r="AK1704" s="184" t="s">
        <v>153</v>
      </c>
      <c r="AL1704" s="33" t="s">
        <v>1431</v>
      </c>
      <c r="AM1704" s="190" t="s">
        <v>2074</v>
      </c>
      <c r="AN1704" s="190" t="s">
        <v>1535</v>
      </c>
      <c r="AO1704" s="191">
        <v>12</v>
      </c>
    </row>
    <row r="1705" spans="36:41" ht="13" x14ac:dyDescent="0.3">
      <c r="AJ1705" s="184" t="s">
        <v>2113</v>
      </c>
      <c r="AK1705" s="184" t="s">
        <v>153</v>
      </c>
      <c r="AL1705" s="33" t="s">
        <v>1431</v>
      </c>
      <c r="AM1705" s="190" t="s">
        <v>2074</v>
      </c>
      <c r="AN1705" s="190" t="s">
        <v>1535</v>
      </c>
      <c r="AO1705" s="191">
        <v>12</v>
      </c>
    </row>
    <row r="1706" spans="36:41" ht="13" x14ac:dyDescent="0.3">
      <c r="AJ1706" s="184" t="s">
        <v>2114</v>
      </c>
      <c r="AK1706" s="184" t="s">
        <v>153</v>
      </c>
      <c r="AL1706" s="33" t="s">
        <v>1431</v>
      </c>
      <c r="AM1706" s="190" t="s">
        <v>2074</v>
      </c>
      <c r="AN1706" s="190" t="s">
        <v>1535</v>
      </c>
      <c r="AO1706" s="191">
        <v>12</v>
      </c>
    </row>
    <row r="1707" spans="36:41" ht="13" x14ac:dyDescent="0.3">
      <c r="AJ1707" s="184" t="s">
        <v>2115</v>
      </c>
      <c r="AK1707" s="184" t="s">
        <v>153</v>
      </c>
      <c r="AL1707" s="33" t="s">
        <v>1431</v>
      </c>
      <c r="AM1707" s="190" t="s">
        <v>2074</v>
      </c>
      <c r="AN1707" s="190" t="s">
        <v>1535</v>
      </c>
      <c r="AO1707" s="191">
        <v>12</v>
      </c>
    </row>
    <row r="1708" spans="36:41" ht="13" x14ac:dyDescent="0.3">
      <c r="AJ1708" s="184" t="s">
        <v>2116</v>
      </c>
      <c r="AK1708" s="184" t="s">
        <v>135</v>
      </c>
      <c r="AL1708" s="33" t="s">
        <v>1431</v>
      </c>
      <c r="AM1708" s="190" t="s">
        <v>1492</v>
      </c>
      <c r="AN1708" s="190" t="s">
        <v>1538</v>
      </c>
      <c r="AO1708" s="191">
        <v>12</v>
      </c>
    </row>
    <row r="1709" spans="36:41" ht="13" x14ac:dyDescent="0.3">
      <c r="AJ1709" s="184" t="s">
        <v>2117</v>
      </c>
      <c r="AK1709" s="184" t="s">
        <v>135</v>
      </c>
      <c r="AL1709" s="33" t="s">
        <v>1431</v>
      </c>
      <c r="AM1709" s="190" t="s">
        <v>1492</v>
      </c>
      <c r="AN1709" s="190" t="s">
        <v>1538</v>
      </c>
      <c r="AO1709" s="191">
        <v>12</v>
      </c>
    </row>
    <row r="1710" spans="36:41" ht="13" x14ac:dyDescent="0.3">
      <c r="AJ1710" s="184" t="s">
        <v>2118</v>
      </c>
      <c r="AK1710" s="184" t="s">
        <v>135</v>
      </c>
      <c r="AL1710" s="33" t="s">
        <v>1431</v>
      </c>
      <c r="AM1710" s="190" t="s">
        <v>1492</v>
      </c>
      <c r="AN1710" s="190" t="s">
        <v>1538</v>
      </c>
      <c r="AO1710" s="191">
        <v>12</v>
      </c>
    </row>
    <row r="1711" spans="36:41" ht="13" x14ac:dyDescent="0.3">
      <c r="AJ1711" s="184" t="s">
        <v>2119</v>
      </c>
      <c r="AK1711" s="184" t="s">
        <v>135</v>
      </c>
      <c r="AL1711" s="33" t="s">
        <v>1431</v>
      </c>
      <c r="AM1711" s="190" t="s">
        <v>1492</v>
      </c>
      <c r="AN1711" s="190" t="s">
        <v>1538</v>
      </c>
      <c r="AO1711" s="191">
        <v>12</v>
      </c>
    </row>
    <row r="1712" spans="36:41" ht="13" x14ac:dyDescent="0.3">
      <c r="AJ1712" s="184" t="s">
        <v>2120</v>
      </c>
      <c r="AK1712" s="184" t="s">
        <v>135</v>
      </c>
      <c r="AL1712" s="33" t="s">
        <v>1431</v>
      </c>
      <c r="AM1712" s="190" t="s">
        <v>1492</v>
      </c>
      <c r="AN1712" s="190" t="s">
        <v>1538</v>
      </c>
      <c r="AO1712" s="191">
        <v>12</v>
      </c>
    </row>
    <row r="1713" spans="36:41" ht="13" x14ac:dyDescent="0.3">
      <c r="AJ1713" s="184" t="s">
        <v>2121</v>
      </c>
      <c r="AK1713" s="184" t="s">
        <v>135</v>
      </c>
      <c r="AL1713" s="33" t="s">
        <v>1431</v>
      </c>
      <c r="AM1713" s="190" t="s">
        <v>1492</v>
      </c>
      <c r="AN1713" s="190" t="s">
        <v>1538</v>
      </c>
      <c r="AO1713" s="191">
        <v>12</v>
      </c>
    </row>
    <row r="1714" spans="36:41" ht="13" x14ac:dyDescent="0.3">
      <c r="AJ1714" s="184" t="s">
        <v>2122</v>
      </c>
      <c r="AK1714" s="184" t="s">
        <v>135</v>
      </c>
      <c r="AL1714" s="33" t="s">
        <v>1431</v>
      </c>
      <c r="AM1714" s="190" t="s">
        <v>1492</v>
      </c>
      <c r="AN1714" s="190" t="s">
        <v>1538</v>
      </c>
      <c r="AO1714" s="191">
        <v>12</v>
      </c>
    </row>
    <row r="1715" spans="36:41" ht="13" x14ac:dyDescent="0.3">
      <c r="AJ1715" s="184" t="s">
        <v>2123</v>
      </c>
      <c r="AK1715" s="184" t="s">
        <v>135</v>
      </c>
      <c r="AL1715" s="33" t="s">
        <v>1431</v>
      </c>
      <c r="AM1715" s="190" t="s">
        <v>1492</v>
      </c>
      <c r="AN1715" s="190" t="s">
        <v>1538</v>
      </c>
      <c r="AO1715" s="191">
        <v>12</v>
      </c>
    </row>
    <row r="1716" spans="36:41" ht="13" x14ac:dyDescent="0.3">
      <c r="AJ1716" s="184" t="s">
        <v>2124</v>
      </c>
      <c r="AK1716" s="184" t="s">
        <v>135</v>
      </c>
      <c r="AL1716" s="33" t="s">
        <v>1431</v>
      </c>
      <c r="AM1716" s="190" t="s">
        <v>1492</v>
      </c>
      <c r="AN1716" s="190" t="s">
        <v>1538</v>
      </c>
      <c r="AO1716" s="191">
        <v>12</v>
      </c>
    </row>
    <row r="1717" spans="36:41" ht="13" x14ac:dyDescent="0.3">
      <c r="AJ1717" s="184" t="s">
        <v>2125</v>
      </c>
      <c r="AK1717" s="184" t="s">
        <v>135</v>
      </c>
      <c r="AL1717" s="33" t="s">
        <v>1431</v>
      </c>
      <c r="AM1717" s="190" t="s">
        <v>1492</v>
      </c>
      <c r="AN1717" s="190" t="s">
        <v>1538</v>
      </c>
      <c r="AO1717" s="191">
        <v>12</v>
      </c>
    </row>
    <row r="1718" spans="36:41" ht="13" x14ac:dyDescent="0.3">
      <c r="AJ1718" s="184" t="s">
        <v>2126</v>
      </c>
      <c r="AK1718" s="184" t="s">
        <v>135</v>
      </c>
      <c r="AL1718" s="33" t="s">
        <v>1431</v>
      </c>
      <c r="AM1718" s="190" t="s">
        <v>1492</v>
      </c>
      <c r="AN1718" s="190" t="s">
        <v>1538</v>
      </c>
      <c r="AO1718" s="191">
        <v>12</v>
      </c>
    </row>
    <row r="1719" spans="36:41" ht="13" x14ac:dyDescent="0.3">
      <c r="AJ1719" s="184" t="s">
        <v>2127</v>
      </c>
      <c r="AK1719" s="184" t="s">
        <v>135</v>
      </c>
      <c r="AL1719" s="33" t="s">
        <v>1431</v>
      </c>
      <c r="AM1719" s="190" t="s">
        <v>1492</v>
      </c>
      <c r="AN1719" s="190" t="s">
        <v>1538</v>
      </c>
      <c r="AO1719" s="191">
        <v>12</v>
      </c>
    </row>
    <row r="1720" spans="36:41" ht="13" x14ac:dyDescent="0.3">
      <c r="AJ1720" s="184" t="s">
        <v>2128</v>
      </c>
      <c r="AK1720" s="184" t="s">
        <v>135</v>
      </c>
      <c r="AL1720" s="33" t="s">
        <v>1431</v>
      </c>
      <c r="AM1720" s="190" t="s">
        <v>1492</v>
      </c>
      <c r="AN1720" s="190" t="s">
        <v>1538</v>
      </c>
      <c r="AO1720" s="191">
        <v>12</v>
      </c>
    </row>
    <row r="1721" spans="36:41" ht="13" x14ac:dyDescent="0.3">
      <c r="AJ1721" s="184" t="s">
        <v>2129</v>
      </c>
      <c r="AK1721" s="184" t="s">
        <v>135</v>
      </c>
      <c r="AL1721" s="33" t="s">
        <v>1431</v>
      </c>
      <c r="AM1721" s="190" t="s">
        <v>1492</v>
      </c>
      <c r="AN1721" s="190" t="s">
        <v>1538</v>
      </c>
      <c r="AO1721" s="191">
        <v>12</v>
      </c>
    </row>
    <row r="1722" spans="36:41" ht="13" x14ac:dyDescent="0.3">
      <c r="AJ1722" s="184" t="s">
        <v>2130</v>
      </c>
      <c r="AK1722" s="184" t="s">
        <v>135</v>
      </c>
      <c r="AL1722" s="33" t="s">
        <v>1431</v>
      </c>
      <c r="AM1722" s="190" t="s">
        <v>1492</v>
      </c>
      <c r="AN1722" s="190" t="s">
        <v>1538</v>
      </c>
      <c r="AO1722" s="191">
        <v>12</v>
      </c>
    </row>
    <row r="1723" spans="36:41" ht="13" x14ac:dyDescent="0.3">
      <c r="AJ1723" s="184" t="s">
        <v>2131</v>
      </c>
      <c r="AK1723" s="184" t="s">
        <v>135</v>
      </c>
      <c r="AL1723" s="33" t="s">
        <v>1431</v>
      </c>
      <c r="AM1723" s="190" t="s">
        <v>1492</v>
      </c>
      <c r="AN1723" s="190" t="s">
        <v>1538</v>
      </c>
      <c r="AO1723" s="191">
        <v>12</v>
      </c>
    </row>
    <row r="1724" spans="36:41" ht="13" x14ac:dyDescent="0.3">
      <c r="AJ1724" s="184" t="s">
        <v>2132</v>
      </c>
      <c r="AK1724" s="184" t="s">
        <v>135</v>
      </c>
      <c r="AL1724" s="33" t="s">
        <v>1431</v>
      </c>
      <c r="AM1724" s="190" t="s">
        <v>1492</v>
      </c>
      <c r="AN1724" s="190" t="s">
        <v>1538</v>
      </c>
      <c r="AO1724" s="191">
        <v>12</v>
      </c>
    </row>
    <row r="1725" spans="36:41" ht="13" x14ac:dyDescent="0.3">
      <c r="AJ1725" s="184" t="s">
        <v>2133</v>
      </c>
      <c r="AK1725" s="184" t="s">
        <v>135</v>
      </c>
      <c r="AL1725" s="33" t="s">
        <v>1431</v>
      </c>
      <c r="AM1725" s="190" t="s">
        <v>1492</v>
      </c>
      <c r="AN1725" s="190" t="s">
        <v>1538</v>
      </c>
      <c r="AO1725" s="191">
        <v>12</v>
      </c>
    </row>
    <row r="1726" spans="36:41" ht="13" x14ac:dyDescent="0.3">
      <c r="AJ1726" s="184" t="s">
        <v>2134</v>
      </c>
      <c r="AK1726" s="184" t="s">
        <v>135</v>
      </c>
      <c r="AL1726" s="33" t="s">
        <v>1431</v>
      </c>
      <c r="AM1726" s="190" t="s">
        <v>1492</v>
      </c>
      <c r="AN1726" s="190" t="s">
        <v>1538</v>
      </c>
      <c r="AO1726" s="191">
        <v>12</v>
      </c>
    </row>
    <row r="1727" spans="36:41" ht="13" x14ac:dyDescent="0.3">
      <c r="AJ1727" s="184" t="s">
        <v>2135</v>
      </c>
      <c r="AK1727" s="184" t="s">
        <v>135</v>
      </c>
      <c r="AL1727" s="33" t="s">
        <v>1431</v>
      </c>
      <c r="AM1727" s="190" t="s">
        <v>1492</v>
      </c>
      <c r="AN1727" s="190" t="s">
        <v>1538</v>
      </c>
      <c r="AO1727" s="191">
        <v>12</v>
      </c>
    </row>
    <row r="1728" spans="36:41" ht="13" x14ac:dyDescent="0.3">
      <c r="AJ1728" s="184" t="s">
        <v>2136</v>
      </c>
      <c r="AK1728" s="184" t="s">
        <v>135</v>
      </c>
      <c r="AL1728" s="33" t="s">
        <v>1431</v>
      </c>
      <c r="AM1728" s="190" t="s">
        <v>1492</v>
      </c>
      <c r="AN1728" s="190" t="s">
        <v>1538</v>
      </c>
      <c r="AO1728" s="191">
        <v>12</v>
      </c>
    </row>
    <row r="1729" spans="36:41" ht="13" x14ac:dyDescent="0.3">
      <c r="AJ1729" s="184" t="s">
        <v>2137</v>
      </c>
      <c r="AK1729" s="184" t="s">
        <v>135</v>
      </c>
      <c r="AL1729" s="33" t="s">
        <v>1431</v>
      </c>
      <c r="AM1729" s="190" t="s">
        <v>1492</v>
      </c>
      <c r="AN1729" s="190" t="s">
        <v>1538</v>
      </c>
      <c r="AO1729" s="191">
        <v>12</v>
      </c>
    </row>
    <row r="1730" spans="36:41" ht="13" x14ac:dyDescent="0.3">
      <c r="AJ1730" s="184" t="s">
        <v>2138</v>
      </c>
      <c r="AK1730" s="184" t="s">
        <v>135</v>
      </c>
      <c r="AL1730" s="33" t="s">
        <v>1431</v>
      </c>
      <c r="AM1730" s="190" t="s">
        <v>1492</v>
      </c>
      <c r="AN1730" s="190" t="s">
        <v>1538</v>
      </c>
      <c r="AO1730" s="191">
        <v>12</v>
      </c>
    </row>
    <row r="1731" spans="36:41" ht="13" x14ac:dyDescent="0.3">
      <c r="AJ1731" s="184" t="s">
        <v>2139</v>
      </c>
      <c r="AK1731" s="184" t="s">
        <v>135</v>
      </c>
      <c r="AL1731" s="33" t="s">
        <v>1431</v>
      </c>
      <c r="AM1731" s="190" t="s">
        <v>1492</v>
      </c>
      <c r="AN1731" s="190" t="s">
        <v>1538</v>
      </c>
      <c r="AO1731" s="191">
        <v>12</v>
      </c>
    </row>
    <row r="1732" spans="36:41" ht="13" x14ac:dyDescent="0.3">
      <c r="AJ1732" s="184" t="s">
        <v>2140</v>
      </c>
      <c r="AK1732" s="184" t="s">
        <v>135</v>
      </c>
      <c r="AL1732" s="33" t="s">
        <v>1431</v>
      </c>
      <c r="AM1732" s="190" t="s">
        <v>1492</v>
      </c>
      <c r="AN1732" s="190" t="s">
        <v>1538</v>
      </c>
      <c r="AO1732" s="191">
        <v>12</v>
      </c>
    </row>
    <row r="1733" spans="36:41" ht="13" x14ac:dyDescent="0.3">
      <c r="AJ1733" s="184" t="s">
        <v>2141</v>
      </c>
      <c r="AK1733" s="184" t="s">
        <v>135</v>
      </c>
      <c r="AL1733" s="33" t="s">
        <v>1431</v>
      </c>
      <c r="AM1733" s="190" t="s">
        <v>1492</v>
      </c>
      <c r="AN1733" s="190" t="s">
        <v>1538</v>
      </c>
      <c r="AO1733" s="191">
        <v>12</v>
      </c>
    </row>
    <row r="1734" spans="36:41" ht="13" x14ac:dyDescent="0.3">
      <c r="AJ1734" s="184" t="s">
        <v>2142</v>
      </c>
      <c r="AK1734" s="184" t="s">
        <v>135</v>
      </c>
      <c r="AL1734" s="33" t="s">
        <v>1431</v>
      </c>
      <c r="AM1734" s="190" t="s">
        <v>1492</v>
      </c>
      <c r="AN1734" s="190" t="s">
        <v>1538</v>
      </c>
      <c r="AO1734" s="191">
        <v>12</v>
      </c>
    </row>
    <row r="1735" spans="36:41" ht="13" x14ac:dyDescent="0.3">
      <c r="AJ1735" s="184" t="s">
        <v>2143</v>
      </c>
      <c r="AK1735" s="184" t="s">
        <v>135</v>
      </c>
      <c r="AL1735" s="33" t="s">
        <v>1431</v>
      </c>
      <c r="AM1735" s="190" t="s">
        <v>1492</v>
      </c>
      <c r="AN1735" s="190" t="s">
        <v>1538</v>
      </c>
      <c r="AO1735" s="191">
        <v>12</v>
      </c>
    </row>
    <row r="1736" spans="36:41" ht="13" x14ac:dyDescent="0.3">
      <c r="AJ1736" s="184" t="s">
        <v>2144</v>
      </c>
      <c r="AK1736" s="184" t="s">
        <v>135</v>
      </c>
      <c r="AL1736" s="33" t="s">
        <v>1431</v>
      </c>
      <c r="AM1736" s="190" t="s">
        <v>1487</v>
      </c>
      <c r="AN1736" s="190" t="s">
        <v>1538</v>
      </c>
      <c r="AO1736" s="191">
        <v>12</v>
      </c>
    </row>
    <row r="1737" spans="36:41" ht="13" x14ac:dyDescent="0.3">
      <c r="AJ1737" s="184" t="s">
        <v>2145</v>
      </c>
      <c r="AK1737" s="184" t="s">
        <v>135</v>
      </c>
      <c r="AL1737" s="33" t="s">
        <v>1431</v>
      </c>
      <c r="AM1737" s="190" t="s">
        <v>1487</v>
      </c>
      <c r="AN1737" s="190" t="s">
        <v>1538</v>
      </c>
      <c r="AO1737" s="191">
        <v>12</v>
      </c>
    </row>
    <row r="1738" spans="36:41" ht="13" x14ac:dyDescent="0.3">
      <c r="AJ1738" s="184" t="s">
        <v>2146</v>
      </c>
      <c r="AK1738" s="184" t="s">
        <v>135</v>
      </c>
      <c r="AL1738" s="33" t="s">
        <v>1431</v>
      </c>
      <c r="AM1738" s="190" t="s">
        <v>1487</v>
      </c>
      <c r="AN1738" s="190" t="s">
        <v>1538</v>
      </c>
      <c r="AO1738" s="191">
        <v>12</v>
      </c>
    </row>
    <row r="1739" spans="36:41" ht="13" x14ac:dyDescent="0.3">
      <c r="AJ1739" s="184" t="s">
        <v>2147</v>
      </c>
      <c r="AK1739" s="184" t="s">
        <v>135</v>
      </c>
      <c r="AL1739" s="33" t="s">
        <v>1431</v>
      </c>
      <c r="AM1739" s="190" t="s">
        <v>1487</v>
      </c>
      <c r="AN1739" s="190" t="s">
        <v>1538</v>
      </c>
      <c r="AO1739" s="191">
        <v>12</v>
      </c>
    </row>
    <row r="1740" spans="36:41" ht="13" x14ac:dyDescent="0.3">
      <c r="AJ1740" s="184" t="s">
        <v>2148</v>
      </c>
      <c r="AK1740" s="184" t="s">
        <v>135</v>
      </c>
      <c r="AL1740" s="33" t="s">
        <v>1431</v>
      </c>
      <c r="AM1740" s="190" t="s">
        <v>1487</v>
      </c>
      <c r="AN1740" s="190" t="s">
        <v>1538</v>
      </c>
      <c r="AO1740" s="191">
        <v>12</v>
      </c>
    </row>
    <row r="1741" spans="36:41" ht="13" x14ac:dyDescent="0.3">
      <c r="AJ1741" s="184" t="s">
        <v>2149</v>
      </c>
      <c r="AK1741" s="184" t="s">
        <v>135</v>
      </c>
      <c r="AL1741" s="33" t="s">
        <v>1431</v>
      </c>
      <c r="AM1741" s="190" t="s">
        <v>1487</v>
      </c>
      <c r="AN1741" s="190" t="s">
        <v>1538</v>
      </c>
      <c r="AO1741" s="191">
        <v>12</v>
      </c>
    </row>
    <row r="1742" spans="36:41" ht="13" x14ac:dyDescent="0.3">
      <c r="AJ1742" s="184" t="s">
        <v>2150</v>
      </c>
      <c r="AK1742" s="184" t="s">
        <v>135</v>
      </c>
      <c r="AL1742" s="33" t="s">
        <v>1431</v>
      </c>
      <c r="AM1742" s="190" t="s">
        <v>1487</v>
      </c>
      <c r="AN1742" s="190" t="s">
        <v>1538</v>
      </c>
      <c r="AO1742" s="191">
        <v>12</v>
      </c>
    </row>
    <row r="1743" spans="36:41" ht="13" x14ac:dyDescent="0.3">
      <c r="AJ1743" s="184" t="s">
        <v>2151</v>
      </c>
      <c r="AK1743" s="184" t="s">
        <v>135</v>
      </c>
      <c r="AL1743" s="33" t="s">
        <v>1431</v>
      </c>
      <c r="AM1743" s="190" t="s">
        <v>1483</v>
      </c>
      <c r="AN1743" s="190" t="s">
        <v>1538</v>
      </c>
      <c r="AO1743" s="191">
        <v>12</v>
      </c>
    </row>
    <row r="1744" spans="36:41" ht="13" x14ac:dyDescent="0.3">
      <c r="AJ1744" s="184" t="s">
        <v>2152</v>
      </c>
      <c r="AK1744" s="184" t="s">
        <v>135</v>
      </c>
      <c r="AL1744" s="33" t="s">
        <v>1431</v>
      </c>
      <c r="AM1744" s="190" t="s">
        <v>1483</v>
      </c>
      <c r="AN1744" s="190" t="s">
        <v>1538</v>
      </c>
      <c r="AO1744" s="191">
        <v>12</v>
      </c>
    </row>
    <row r="1745" spans="36:41" ht="13" x14ac:dyDescent="0.3">
      <c r="AJ1745" s="184" t="s">
        <v>2153</v>
      </c>
      <c r="AK1745" s="184" t="s">
        <v>135</v>
      </c>
      <c r="AL1745" s="33" t="s">
        <v>1431</v>
      </c>
      <c r="AM1745" s="190" t="s">
        <v>1483</v>
      </c>
      <c r="AN1745" s="190" t="s">
        <v>1538</v>
      </c>
      <c r="AO1745" s="191">
        <v>12</v>
      </c>
    </row>
    <row r="1746" spans="36:41" ht="13" x14ac:dyDescent="0.3">
      <c r="AJ1746" s="184" t="s">
        <v>2154</v>
      </c>
      <c r="AK1746" s="184" t="s">
        <v>135</v>
      </c>
      <c r="AL1746" s="33" t="s">
        <v>1431</v>
      </c>
      <c r="AM1746" s="190" t="s">
        <v>1483</v>
      </c>
      <c r="AN1746" s="190" t="s">
        <v>1538</v>
      </c>
      <c r="AO1746" s="191">
        <v>12</v>
      </c>
    </row>
    <row r="1747" spans="36:41" ht="13" x14ac:dyDescent="0.3">
      <c r="AJ1747" s="184" t="s">
        <v>2155</v>
      </c>
      <c r="AK1747" s="184" t="s">
        <v>135</v>
      </c>
      <c r="AL1747" s="33" t="s">
        <v>1431</v>
      </c>
      <c r="AM1747" s="190" t="s">
        <v>1483</v>
      </c>
      <c r="AN1747" s="190" t="s">
        <v>1538</v>
      </c>
      <c r="AO1747" s="191">
        <v>12</v>
      </c>
    </row>
    <row r="1748" spans="36:41" ht="13" x14ac:dyDescent="0.3">
      <c r="AJ1748" s="184" t="s">
        <v>2156</v>
      </c>
      <c r="AK1748" s="184" t="s">
        <v>135</v>
      </c>
      <c r="AL1748" s="33" t="s">
        <v>1431</v>
      </c>
      <c r="AM1748" s="190" t="s">
        <v>1483</v>
      </c>
      <c r="AN1748" s="190" t="s">
        <v>1538</v>
      </c>
      <c r="AO1748" s="191">
        <v>12</v>
      </c>
    </row>
    <row r="1749" spans="36:41" ht="13" x14ac:dyDescent="0.3">
      <c r="AJ1749" s="184" t="s">
        <v>2157</v>
      </c>
      <c r="AK1749" s="184" t="s">
        <v>135</v>
      </c>
      <c r="AL1749" s="33" t="s">
        <v>1431</v>
      </c>
      <c r="AM1749" s="190" t="s">
        <v>1483</v>
      </c>
      <c r="AN1749" s="190" t="s">
        <v>1538</v>
      </c>
      <c r="AO1749" s="191">
        <v>12</v>
      </c>
    </row>
    <row r="1750" spans="36:41" ht="13" x14ac:dyDescent="0.3">
      <c r="AJ1750" s="184" t="s">
        <v>2158</v>
      </c>
      <c r="AK1750" s="184" t="s">
        <v>135</v>
      </c>
      <c r="AL1750" s="33" t="s">
        <v>1431</v>
      </c>
      <c r="AM1750" s="190" t="s">
        <v>1483</v>
      </c>
      <c r="AN1750" s="190" t="s">
        <v>1538</v>
      </c>
      <c r="AO1750" s="191">
        <v>12</v>
      </c>
    </row>
    <row r="1751" spans="36:41" ht="13" x14ac:dyDescent="0.3">
      <c r="AJ1751" s="184" t="s">
        <v>2159</v>
      </c>
      <c r="AK1751" s="184" t="s">
        <v>135</v>
      </c>
      <c r="AL1751" s="33" t="s">
        <v>1431</v>
      </c>
      <c r="AM1751" s="190" t="s">
        <v>1483</v>
      </c>
      <c r="AN1751" s="190" t="s">
        <v>1538</v>
      </c>
      <c r="AO1751" s="191">
        <v>12</v>
      </c>
    </row>
    <row r="1752" spans="36:41" ht="13" x14ac:dyDescent="0.3">
      <c r="AJ1752" s="184" t="s">
        <v>2160</v>
      </c>
      <c r="AK1752" s="184" t="s">
        <v>135</v>
      </c>
      <c r="AL1752" s="33" t="s">
        <v>1431</v>
      </c>
      <c r="AM1752" s="190" t="s">
        <v>1483</v>
      </c>
      <c r="AN1752" s="190" t="s">
        <v>1538</v>
      </c>
      <c r="AO1752" s="191">
        <v>12</v>
      </c>
    </row>
    <row r="1753" spans="36:41" ht="13" x14ac:dyDescent="0.3">
      <c r="AJ1753" s="184" t="s">
        <v>2161</v>
      </c>
      <c r="AK1753" s="184" t="s">
        <v>135</v>
      </c>
      <c r="AL1753" s="33" t="s">
        <v>1431</v>
      </c>
      <c r="AM1753" s="190" t="s">
        <v>1483</v>
      </c>
      <c r="AN1753" s="190" t="s">
        <v>1538</v>
      </c>
      <c r="AO1753" s="191">
        <v>12</v>
      </c>
    </row>
    <row r="1754" spans="36:41" ht="13" x14ac:dyDescent="0.3">
      <c r="AJ1754" s="184" t="s">
        <v>2162</v>
      </c>
      <c r="AK1754" s="184" t="s">
        <v>135</v>
      </c>
      <c r="AL1754" s="33" t="s">
        <v>1431</v>
      </c>
      <c r="AM1754" s="190" t="s">
        <v>1483</v>
      </c>
      <c r="AN1754" s="190" t="s">
        <v>1538</v>
      </c>
      <c r="AO1754" s="191">
        <v>12</v>
      </c>
    </row>
    <row r="1755" spans="36:41" ht="13" x14ac:dyDescent="0.3">
      <c r="AJ1755" s="184" t="s">
        <v>2163</v>
      </c>
      <c r="AK1755" s="184" t="s">
        <v>135</v>
      </c>
      <c r="AL1755" s="33" t="s">
        <v>1431</v>
      </c>
      <c r="AM1755" s="190" t="s">
        <v>1483</v>
      </c>
      <c r="AN1755" s="190" t="s">
        <v>1538</v>
      </c>
      <c r="AO1755" s="191">
        <v>12</v>
      </c>
    </row>
    <row r="1756" spans="36:41" ht="13" x14ac:dyDescent="0.3">
      <c r="AJ1756" s="184" t="s">
        <v>2164</v>
      </c>
      <c r="AK1756" s="184" t="s">
        <v>135</v>
      </c>
      <c r="AL1756" s="33" t="s">
        <v>1431</v>
      </c>
      <c r="AM1756" s="190" t="s">
        <v>1483</v>
      </c>
      <c r="AN1756" s="190" t="s">
        <v>1538</v>
      </c>
      <c r="AO1756" s="191">
        <v>12</v>
      </c>
    </row>
    <row r="1757" spans="36:41" ht="13" x14ac:dyDescent="0.3">
      <c r="AJ1757" s="184" t="s">
        <v>2165</v>
      </c>
      <c r="AK1757" s="184" t="s">
        <v>135</v>
      </c>
      <c r="AL1757" s="33" t="s">
        <v>1431</v>
      </c>
      <c r="AM1757" s="190" t="s">
        <v>1483</v>
      </c>
      <c r="AN1757" s="190" t="s">
        <v>1538</v>
      </c>
      <c r="AO1757" s="191">
        <v>12</v>
      </c>
    </row>
    <row r="1758" spans="36:41" ht="13" x14ac:dyDescent="0.3">
      <c r="AJ1758" s="184" t="s">
        <v>2166</v>
      </c>
      <c r="AK1758" s="184" t="s">
        <v>135</v>
      </c>
      <c r="AL1758" s="33" t="s">
        <v>1431</v>
      </c>
      <c r="AM1758" s="190" t="s">
        <v>1483</v>
      </c>
      <c r="AN1758" s="190" t="s">
        <v>1538</v>
      </c>
      <c r="AO1758" s="191">
        <v>12</v>
      </c>
    </row>
    <row r="1759" spans="36:41" ht="13" x14ac:dyDescent="0.3">
      <c r="AJ1759" s="184" t="s">
        <v>2167</v>
      </c>
      <c r="AK1759" s="184" t="s">
        <v>136</v>
      </c>
      <c r="AL1759" s="33" t="s">
        <v>1431</v>
      </c>
      <c r="AM1759" s="190" t="s">
        <v>2328</v>
      </c>
      <c r="AN1759" s="190" t="s">
        <v>1538</v>
      </c>
      <c r="AO1759" s="191">
        <v>6</v>
      </c>
    </row>
    <row r="1760" spans="36:41" ht="13" x14ac:dyDescent="0.3">
      <c r="AJ1760" s="184" t="s">
        <v>2168</v>
      </c>
      <c r="AK1760" s="184" t="s">
        <v>136</v>
      </c>
      <c r="AL1760" s="33" t="s">
        <v>1431</v>
      </c>
      <c r="AM1760" s="190" t="s">
        <v>2329</v>
      </c>
      <c r="AN1760" s="190" t="s">
        <v>1538</v>
      </c>
      <c r="AO1760" s="191">
        <v>6</v>
      </c>
    </row>
    <row r="1761" spans="36:41" ht="13" x14ac:dyDescent="0.3">
      <c r="AJ1761" s="184" t="s">
        <v>2169</v>
      </c>
      <c r="AK1761" s="184" t="s">
        <v>136</v>
      </c>
      <c r="AL1761" s="33" t="s">
        <v>1431</v>
      </c>
      <c r="AM1761" s="190" t="s">
        <v>2330</v>
      </c>
      <c r="AN1761" s="190" t="s">
        <v>1538</v>
      </c>
      <c r="AO1761" s="191">
        <v>6</v>
      </c>
    </row>
    <row r="1762" spans="36:41" ht="13" x14ac:dyDescent="0.3">
      <c r="AJ1762" s="184" t="s">
        <v>2170</v>
      </c>
      <c r="AK1762" s="184" t="s">
        <v>136</v>
      </c>
      <c r="AL1762" s="33" t="s">
        <v>1431</v>
      </c>
      <c r="AM1762" s="190" t="s">
        <v>1488</v>
      </c>
      <c r="AN1762" s="190" t="s">
        <v>1538</v>
      </c>
      <c r="AO1762" s="191">
        <v>6</v>
      </c>
    </row>
    <row r="1763" spans="36:41" ht="13" x14ac:dyDescent="0.3">
      <c r="AJ1763" s="184" t="s">
        <v>2171</v>
      </c>
      <c r="AK1763" s="184" t="s">
        <v>136</v>
      </c>
      <c r="AL1763" s="33" t="s">
        <v>1431</v>
      </c>
      <c r="AM1763" s="190" t="s">
        <v>2331</v>
      </c>
      <c r="AN1763" s="190" t="s">
        <v>1538</v>
      </c>
      <c r="AO1763" s="191">
        <v>6</v>
      </c>
    </row>
    <row r="1764" spans="36:41" ht="13" x14ac:dyDescent="0.3">
      <c r="AJ1764" s="184" t="s">
        <v>2172</v>
      </c>
      <c r="AK1764" s="184" t="s">
        <v>136</v>
      </c>
      <c r="AL1764" s="33" t="s">
        <v>1431</v>
      </c>
      <c r="AM1764" s="190" t="s">
        <v>2332</v>
      </c>
      <c r="AN1764" s="190" t="s">
        <v>1538</v>
      </c>
      <c r="AO1764" s="191">
        <v>6</v>
      </c>
    </row>
    <row r="1765" spans="36:41" ht="13" x14ac:dyDescent="0.3">
      <c r="AJ1765" s="184" t="s">
        <v>2173</v>
      </c>
      <c r="AK1765" s="184" t="s">
        <v>136</v>
      </c>
      <c r="AL1765" s="33" t="s">
        <v>1431</v>
      </c>
      <c r="AM1765" s="190" t="s">
        <v>2333</v>
      </c>
      <c r="AN1765" s="190" t="s">
        <v>1538</v>
      </c>
      <c r="AO1765" s="191">
        <v>6</v>
      </c>
    </row>
    <row r="1766" spans="36:41" ht="13" x14ac:dyDescent="0.3">
      <c r="AJ1766" s="184" t="s">
        <v>2174</v>
      </c>
      <c r="AK1766" s="184" t="s">
        <v>136</v>
      </c>
      <c r="AL1766" s="33" t="s">
        <v>1431</v>
      </c>
      <c r="AM1766" s="190" t="s">
        <v>2334</v>
      </c>
      <c r="AN1766" s="190" t="s">
        <v>1538</v>
      </c>
      <c r="AO1766" s="191">
        <v>6</v>
      </c>
    </row>
    <row r="1767" spans="36:41" ht="13" x14ac:dyDescent="0.3">
      <c r="AJ1767" s="184" t="s">
        <v>2175</v>
      </c>
      <c r="AK1767" s="184" t="s">
        <v>136</v>
      </c>
      <c r="AL1767" s="33" t="s">
        <v>1431</v>
      </c>
      <c r="AM1767" s="190" t="s">
        <v>2335</v>
      </c>
      <c r="AN1767" s="190" t="s">
        <v>1538</v>
      </c>
      <c r="AO1767" s="191">
        <v>6</v>
      </c>
    </row>
    <row r="1768" spans="36:41" ht="13" x14ac:dyDescent="0.3">
      <c r="AJ1768" s="184" t="s">
        <v>2176</v>
      </c>
      <c r="AK1768" s="184" t="s">
        <v>136</v>
      </c>
      <c r="AL1768" s="33" t="s">
        <v>1431</v>
      </c>
      <c r="AM1768" s="190" t="s">
        <v>2336</v>
      </c>
      <c r="AN1768" s="190" t="s">
        <v>1538</v>
      </c>
      <c r="AO1768" s="191">
        <v>6</v>
      </c>
    </row>
    <row r="1769" spans="36:41" ht="13" x14ac:dyDescent="0.3">
      <c r="AJ1769" s="184" t="s">
        <v>2177</v>
      </c>
      <c r="AK1769" s="184" t="s">
        <v>136</v>
      </c>
      <c r="AL1769" s="33" t="s">
        <v>1431</v>
      </c>
      <c r="AM1769" s="190" t="s">
        <v>2337</v>
      </c>
      <c r="AN1769" s="190" t="s">
        <v>1538</v>
      </c>
      <c r="AO1769" s="191">
        <v>6</v>
      </c>
    </row>
    <row r="1770" spans="36:41" ht="13" x14ac:dyDescent="0.3">
      <c r="AJ1770" s="184" t="s">
        <v>2178</v>
      </c>
      <c r="AK1770" s="184" t="s">
        <v>136</v>
      </c>
      <c r="AL1770" s="33" t="s">
        <v>1431</v>
      </c>
      <c r="AM1770" s="190" t="s">
        <v>2338</v>
      </c>
      <c r="AN1770" s="190" t="s">
        <v>1538</v>
      </c>
      <c r="AO1770" s="191">
        <v>6</v>
      </c>
    </row>
    <row r="1771" spans="36:41" ht="13" x14ac:dyDescent="0.3">
      <c r="AJ1771" s="184" t="s">
        <v>2179</v>
      </c>
      <c r="AK1771" s="184" t="s">
        <v>136</v>
      </c>
      <c r="AL1771" s="33" t="s">
        <v>1431</v>
      </c>
      <c r="AM1771" s="190" t="s">
        <v>2339</v>
      </c>
      <c r="AN1771" s="190" t="s">
        <v>1538</v>
      </c>
      <c r="AO1771" s="191">
        <v>6</v>
      </c>
    </row>
    <row r="1772" spans="36:41" ht="13" x14ac:dyDescent="0.3">
      <c r="AJ1772" s="184" t="s">
        <v>2180</v>
      </c>
      <c r="AK1772" s="184" t="s">
        <v>136</v>
      </c>
      <c r="AL1772" s="33" t="s">
        <v>1431</v>
      </c>
      <c r="AM1772" s="190" t="s">
        <v>2340</v>
      </c>
      <c r="AN1772" s="190" t="s">
        <v>1538</v>
      </c>
      <c r="AO1772" s="191">
        <v>6</v>
      </c>
    </row>
    <row r="1773" spans="36:41" ht="13" x14ac:dyDescent="0.3">
      <c r="AJ1773" s="184" t="s">
        <v>2181</v>
      </c>
      <c r="AK1773" s="184" t="s">
        <v>136</v>
      </c>
      <c r="AL1773" s="33" t="s">
        <v>1431</v>
      </c>
      <c r="AM1773" s="190" t="s">
        <v>2341</v>
      </c>
      <c r="AN1773" s="190" t="s">
        <v>1538</v>
      </c>
      <c r="AO1773" s="191">
        <v>6</v>
      </c>
    </row>
    <row r="1774" spans="36:41" ht="13" x14ac:dyDescent="0.3">
      <c r="AJ1774" s="184" t="s">
        <v>2182</v>
      </c>
      <c r="AK1774" s="184" t="s">
        <v>136</v>
      </c>
      <c r="AL1774" s="33" t="s">
        <v>1431</v>
      </c>
      <c r="AM1774" s="190" t="s">
        <v>2342</v>
      </c>
      <c r="AN1774" s="190" t="s">
        <v>1538</v>
      </c>
      <c r="AO1774" s="191">
        <v>6</v>
      </c>
    </row>
    <row r="1775" spans="36:41" ht="13" x14ac:dyDescent="0.3">
      <c r="AJ1775" s="184" t="s">
        <v>2183</v>
      </c>
      <c r="AK1775" s="184" t="s">
        <v>136</v>
      </c>
      <c r="AL1775" s="33" t="s">
        <v>1431</v>
      </c>
      <c r="AM1775" s="190" t="s">
        <v>1498</v>
      </c>
      <c r="AN1775" s="190" t="s">
        <v>1538</v>
      </c>
      <c r="AO1775" s="191">
        <v>6</v>
      </c>
    </row>
    <row r="1776" spans="36:41" ht="13" x14ac:dyDescent="0.3">
      <c r="AJ1776" s="184" t="s">
        <v>2184</v>
      </c>
      <c r="AK1776" s="184" t="s">
        <v>136</v>
      </c>
      <c r="AL1776" s="33" t="s">
        <v>1431</v>
      </c>
      <c r="AM1776" s="190" t="s">
        <v>2343</v>
      </c>
      <c r="AN1776" s="190" t="s">
        <v>1538</v>
      </c>
      <c r="AO1776" s="191">
        <v>6</v>
      </c>
    </row>
    <row r="1777" spans="36:41" ht="13" x14ac:dyDescent="0.3">
      <c r="AJ1777" s="184" t="s">
        <v>2185</v>
      </c>
      <c r="AK1777" s="184" t="s">
        <v>136</v>
      </c>
      <c r="AL1777" s="33" t="s">
        <v>1431</v>
      </c>
      <c r="AM1777" s="190" t="s">
        <v>1495</v>
      </c>
      <c r="AN1777" s="190" t="s">
        <v>1538</v>
      </c>
      <c r="AO1777" s="191">
        <v>6</v>
      </c>
    </row>
    <row r="1778" spans="36:41" ht="13" x14ac:dyDescent="0.3">
      <c r="AJ1778" s="184" t="s">
        <v>2186</v>
      </c>
      <c r="AK1778" s="184" t="s">
        <v>136</v>
      </c>
      <c r="AL1778" s="33" t="s">
        <v>1431</v>
      </c>
      <c r="AM1778" s="190" t="s">
        <v>2344</v>
      </c>
      <c r="AN1778" s="190" t="s">
        <v>1538</v>
      </c>
      <c r="AO1778" s="191">
        <v>6</v>
      </c>
    </row>
    <row r="1779" spans="36:41" ht="13" x14ac:dyDescent="0.3">
      <c r="AJ1779" s="184" t="s">
        <v>2187</v>
      </c>
      <c r="AK1779" s="184" t="s">
        <v>135</v>
      </c>
      <c r="AL1779" s="33" t="s">
        <v>1431</v>
      </c>
      <c r="AM1779" s="192" t="s">
        <v>1479</v>
      </c>
      <c r="AN1779" s="190" t="s">
        <v>1538</v>
      </c>
      <c r="AO1779" s="191">
        <v>12</v>
      </c>
    </row>
    <row r="1780" spans="36:41" ht="13" x14ac:dyDescent="0.3">
      <c r="AJ1780" s="184" t="s">
        <v>2188</v>
      </c>
      <c r="AK1780" s="184" t="s">
        <v>135</v>
      </c>
      <c r="AL1780" s="33" t="s">
        <v>1431</v>
      </c>
      <c r="AM1780" s="192" t="s">
        <v>1491</v>
      </c>
      <c r="AN1780" s="190" t="s">
        <v>1538</v>
      </c>
      <c r="AO1780" s="191">
        <v>12</v>
      </c>
    </row>
    <row r="1781" spans="36:41" ht="13" x14ac:dyDescent="0.3">
      <c r="AJ1781" s="184" t="s">
        <v>2189</v>
      </c>
      <c r="AK1781" s="184" t="s">
        <v>135</v>
      </c>
      <c r="AL1781" s="33" t="s">
        <v>1431</v>
      </c>
      <c r="AM1781" s="192" t="s">
        <v>1491</v>
      </c>
      <c r="AN1781" s="190" t="s">
        <v>1538</v>
      </c>
      <c r="AO1781" s="191">
        <v>12</v>
      </c>
    </row>
    <row r="1782" spans="36:41" ht="13" x14ac:dyDescent="0.3">
      <c r="AJ1782" s="184" t="s">
        <v>2190</v>
      </c>
      <c r="AK1782" s="184" t="s">
        <v>135</v>
      </c>
      <c r="AL1782" s="33" t="s">
        <v>1431</v>
      </c>
      <c r="AM1782" s="192" t="s">
        <v>1479</v>
      </c>
      <c r="AN1782" s="190" t="s">
        <v>1538</v>
      </c>
      <c r="AO1782" s="191">
        <v>12</v>
      </c>
    </row>
    <row r="1783" spans="36:41" ht="13" x14ac:dyDescent="0.3">
      <c r="AJ1783" s="184" t="s">
        <v>2191</v>
      </c>
      <c r="AK1783" s="184" t="s">
        <v>135</v>
      </c>
      <c r="AL1783" s="33" t="s">
        <v>1431</v>
      </c>
      <c r="AM1783" s="192" t="s">
        <v>1491</v>
      </c>
      <c r="AN1783" s="190" t="s">
        <v>1538</v>
      </c>
      <c r="AO1783" s="191">
        <v>12</v>
      </c>
    </row>
    <row r="1784" spans="36:41" ht="13" x14ac:dyDescent="0.3">
      <c r="AJ1784" s="184" t="s">
        <v>2192</v>
      </c>
      <c r="AK1784" s="184" t="s">
        <v>135</v>
      </c>
      <c r="AL1784" s="33" t="s">
        <v>1431</v>
      </c>
      <c r="AM1784" s="192" t="s">
        <v>1474</v>
      </c>
      <c r="AN1784" s="190" t="s">
        <v>1538</v>
      </c>
      <c r="AO1784" s="191">
        <v>12</v>
      </c>
    </row>
    <row r="1785" spans="36:41" ht="13" x14ac:dyDescent="0.3">
      <c r="AJ1785" s="184" t="s">
        <v>2193</v>
      </c>
      <c r="AK1785" s="184" t="s">
        <v>135</v>
      </c>
      <c r="AL1785" s="33" t="s">
        <v>1431</v>
      </c>
      <c r="AM1785" s="192" t="s">
        <v>1475</v>
      </c>
      <c r="AN1785" s="190" t="s">
        <v>1538</v>
      </c>
      <c r="AO1785" s="191">
        <v>12</v>
      </c>
    </row>
    <row r="1786" spans="36:41" ht="13" x14ac:dyDescent="0.3">
      <c r="AJ1786" s="184" t="s">
        <v>2194</v>
      </c>
      <c r="AK1786" s="184" t="s">
        <v>135</v>
      </c>
      <c r="AL1786" s="33" t="s">
        <v>1431</v>
      </c>
      <c r="AM1786" s="192" t="s">
        <v>1482</v>
      </c>
      <c r="AN1786" s="190" t="s">
        <v>1538</v>
      </c>
      <c r="AO1786" s="191">
        <v>12</v>
      </c>
    </row>
    <row r="1787" spans="36:41" ht="13" x14ac:dyDescent="0.3">
      <c r="AJ1787" s="184" t="s">
        <v>2195</v>
      </c>
      <c r="AK1787" s="184" t="s">
        <v>135</v>
      </c>
      <c r="AL1787" s="33" t="s">
        <v>1431</v>
      </c>
      <c r="AM1787" s="192" t="s">
        <v>1482</v>
      </c>
      <c r="AN1787" s="190" t="s">
        <v>1538</v>
      </c>
      <c r="AO1787" s="191">
        <v>12</v>
      </c>
    </row>
    <row r="1788" spans="36:41" ht="13" x14ac:dyDescent="0.3">
      <c r="AJ1788" s="184" t="s">
        <v>2196</v>
      </c>
      <c r="AK1788" s="184" t="s">
        <v>135</v>
      </c>
      <c r="AL1788" s="33" t="s">
        <v>1431</v>
      </c>
      <c r="AM1788" s="192" t="s">
        <v>1478</v>
      </c>
      <c r="AN1788" s="190" t="s">
        <v>1538</v>
      </c>
      <c r="AO1788" s="191">
        <v>12</v>
      </c>
    </row>
    <row r="1789" spans="36:41" ht="13" x14ac:dyDescent="0.3">
      <c r="AJ1789" s="184" t="s">
        <v>2197</v>
      </c>
      <c r="AK1789" s="184" t="s">
        <v>135</v>
      </c>
      <c r="AL1789" s="33" t="s">
        <v>1431</v>
      </c>
      <c r="AM1789" s="192" t="s">
        <v>1482</v>
      </c>
      <c r="AN1789" s="190" t="s">
        <v>1538</v>
      </c>
      <c r="AO1789" s="191">
        <v>12</v>
      </c>
    </row>
    <row r="1790" spans="36:41" ht="13" x14ac:dyDescent="0.3">
      <c r="AJ1790" s="184" t="s">
        <v>2198</v>
      </c>
      <c r="AK1790" s="184" t="s">
        <v>135</v>
      </c>
      <c r="AL1790" s="33" t="s">
        <v>1431</v>
      </c>
      <c r="AM1790" s="192" t="s">
        <v>1478</v>
      </c>
      <c r="AN1790" s="190" t="s">
        <v>1538</v>
      </c>
      <c r="AO1790" s="191">
        <v>12</v>
      </c>
    </row>
    <row r="1791" spans="36:41" ht="13" x14ac:dyDescent="0.3">
      <c r="AJ1791" s="184" t="s">
        <v>2199</v>
      </c>
      <c r="AK1791" s="184" t="s">
        <v>135</v>
      </c>
      <c r="AL1791" s="33" t="s">
        <v>1431</v>
      </c>
      <c r="AM1791" s="192" t="s">
        <v>1489</v>
      </c>
      <c r="AN1791" s="190" t="s">
        <v>1538</v>
      </c>
      <c r="AO1791" s="191">
        <v>12</v>
      </c>
    </row>
    <row r="1792" spans="36:41" ht="13" x14ac:dyDescent="0.3">
      <c r="AJ1792" s="184" t="s">
        <v>2200</v>
      </c>
      <c r="AK1792" s="184" t="s">
        <v>135</v>
      </c>
      <c r="AL1792" s="33" t="s">
        <v>1431</v>
      </c>
      <c r="AM1792" s="192" t="s">
        <v>1498</v>
      </c>
      <c r="AN1792" s="190" t="s">
        <v>1538</v>
      </c>
      <c r="AO1792" s="191">
        <v>12</v>
      </c>
    </row>
    <row r="1793" spans="36:41" ht="13" x14ac:dyDescent="0.3">
      <c r="AJ1793" s="184" t="s">
        <v>2201</v>
      </c>
      <c r="AK1793" s="184" t="s">
        <v>136</v>
      </c>
      <c r="AL1793" s="33" t="s">
        <v>1431</v>
      </c>
      <c r="AM1793" s="192" t="s">
        <v>1491</v>
      </c>
      <c r="AN1793" s="190" t="s">
        <v>1538</v>
      </c>
      <c r="AO1793" s="191">
        <v>12</v>
      </c>
    </row>
    <row r="1794" spans="36:41" ht="13" x14ac:dyDescent="0.3">
      <c r="AJ1794" s="184" t="s">
        <v>2202</v>
      </c>
      <c r="AK1794" s="184" t="s">
        <v>136</v>
      </c>
      <c r="AL1794" s="33" t="s">
        <v>1431</v>
      </c>
      <c r="AM1794" s="192" t="s">
        <v>1482</v>
      </c>
      <c r="AN1794" s="190" t="s">
        <v>1538</v>
      </c>
      <c r="AO1794" s="191">
        <v>12</v>
      </c>
    </row>
    <row r="1795" spans="36:41" ht="13" x14ac:dyDescent="0.3">
      <c r="AJ1795" s="184" t="s">
        <v>2203</v>
      </c>
      <c r="AK1795" s="184" t="s">
        <v>136</v>
      </c>
      <c r="AL1795" s="33" t="s">
        <v>1431</v>
      </c>
      <c r="AM1795" s="192" t="s">
        <v>1487</v>
      </c>
      <c r="AN1795" s="190" t="s">
        <v>1538</v>
      </c>
      <c r="AO1795" s="191">
        <v>12</v>
      </c>
    </row>
    <row r="1796" spans="36:41" ht="13" x14ac:dyDescent="0.3">
      <c r="AJ1796" s="184" t="s">
        <v>2204</v>
      </c>
      <c r="AK1796" s="184" t="s">
        <v>136</v>
      </c>
      <c r="AL1796" s="33" t="s">
        <v>1431</v>
      </c>
      <c r="AM1796" s="192" t="s">
        <v>1493</v>
      </c>
      <c r="AN1796" s="190" t="s">
        <v>1538</v>
      </c>
      <c r="AO1796" s="191">
        <v>12</v>
      </c>
    </row>
    <row r="1797" spans="36:41" ht="13" x14ac:dyDescent="0.3">
      <c r="AJ1797" s="184" t="s">
        <v>2205</v>
      </c>
      <c r="AK1797" s="184" t="s">
        <v>136</v>
      </c>
      <c r="AL1797" s="33" t="s">
        <v>1431</v>
      </c>
      <c r="AM1797" s="192" t="s">
        <v>1675</v>
      </c>
      <c r="AN1797" s="190" t="s">
        <v>1538</v>
      </c>
      <c r="AO1797" s="191">
        <v>12</v>
      </c>
    </row>
    <row r="1798" spans="36:41" ht="13" x14ac:dyDescent="0.3">
      <c r="AJ1798" s="184" t="s">
        <v>2206</v>
      </c>
      <c r="AK1798" s="184" t="s">
        <v>136</v>
      </c>
      <c r="AL1798" s="33" t="s">
        <v>1431</v>
      </c>
      <c r="AM1798" s="192" t="s">
        <v>1514</v>
      </c>
      <c r="AN1798" s="190" t="s">
        <v>1538</v>
      </c>
      <c r="AO1798" s="191">
        <v>12</v>
      </c>
    </row>
    <row r="1799" spans="36:41" ht="13" x14ac:dyDescent="0.3">
      <c r="AJ1799" s="184" t="s">
        <v>2207</v>
      </c>
      <c r="AK1799" s="184" t="s">
        <v>136</v>
      </c>
      <c r="AL1799" s="33" t="s">
        <v>1431</v>
      </c>
      <c r="AM1799" s="192" t="s">
        <v>1515</v>
      </c>
      <c r="AN1799" s="190" t="s">
        <v>1538</v>
      </c>
      <c r="AO1799" s="191">
        <v>12</v>
      </c>
    </row>
    <row r="1800" spans="36:41" ht="13" x14ac:dyDescent="0.3">
      <c r="AJ1800" s="184" t="s">
        <v>2208</v>
      </c>
      <c r="AK1800" s="184" t="s">
        <v>136</v>
      </c>
      <c r="AL1800" s="33" t="s">
        <v>1431</v>
      </c>
      <c r="AM1800" s="192" t="s">
        <v>1523</v>
      </c>
      <c r="AN1800" s="190" t="s">
        <v>1538</v>
      </c>
      <c r="AO1800" s="191">
        <v>12</v>
      </c>
    </row>
    <row r="1801" spans="36:41" ht="13" x14ac:dyDescent="0.3">
      <c r="AJ1801" s="184" t="s">
        <v>2209</v>
      </c>
      <c r="AK1801" s="184" t="s">
        <v>136</v>
      </c>
      <c r="AL1801" s="33" t="s">
        <v>1431</v>
      </c>
      <c r="AM1801" s="192" t="s">
        <v>1474</v>
      </c>
      <c r="AN1801" s="190" t="s">
        <v>1538</v>
      </c>
      <c r="AO1801" s="191">
        <v>12</v>
      </c>
    </row>
    <row r="1802" spans="36:41" ht="13" x14ac:dyDescent="0.3">
      <c r="AJ1802" s="184" t="s">
        <v>2210</v>
      </c>
      <c r="AK1802" s="184" t="s">
        <v>136</v>
      </c>
      <c r="AL1802" s="33" t="s">
        <v>1431</v>
      </c>
      <c r="AM1802" s="192" t="s">
        <v>1475</v>
      </c>
      <c r="AN1802" s="190" t="s">
        <v>1538</v>
      </c>
      <c r="AO1802" s="191">
        <v>12</v>
      </c>
    </row>
    <row r="1803" spans="36:41" ht="13" x14ac:dyDescent="0.3">
      <c r="AJ1803" s="184" t="s">
        <v>2211</v>
      </c>
      <c r="AK1803" s="184" t="s">
        <v>135</v>
      </c>
      <c r="AL1803" s="33" t="s">
        <v>1431</v>
      </c>
      <c r="AM1803" s="190" t="s">
        <v>1493</v>
      </c>
      <c r="AN1803" s="190" t="s">
        <v>1538</v>
      </c>
      <c r="AO1803" s="191">
        <v>12</v>
      </c>
    </row>
    <row r="1804" spans="36:41" ht="13" x14ac:dyDescent="0.3">
      <c r="AJ1804" s="184" t="s">
        <v>2212</v>
      </c>
      <c r="AK1804" s="184" t="s">
        <v>135</v>
      </c>
      <c r="AL1804" s="33" t="s">
        <v>1431</v>
      </c>
      <c r="AM1804" s="190" t="s">
        <v>1493</v>
      </c>
      <c r="AN1804" s="190" t="s">
        <v>1538</v>
      </c>
      <c r="AO1804" s="191">
        <v>12</v>
      </c>
    </row>
    <row r="1805" spans="36:41" ht="13" x14ac:dyDescent="0.3">
      <c r="AJ1805" s="184" t="s">
        <v>2213</v>
      </c>
      <c r="AK1805" s="184" t="s">
        <v>135</v>
      </c>
      <c r="AL1805" s="33" t="s">
        <v>1431</v>
      </c>
      <c r="AM1805" s="190" t="s">
        <v>1493</v>
      </c>
      <c r="AN1805" s="190" t="s">
        <v>1538</v>
      </c>
      <c r="AO1805" s="191">
        <v>12</v>
      </c>
    </row>
    <row r="1806" spans="36:41" ht="13" x14ac:dyDescent="0.3">
      <c r="AJ1806" s="184" t="s">
        <v>2214</v>
      </c>
      <c r="AK1806" s="184" t="s">
        <v>135</v>
      </c>
      <c r="AL1806" s="33" t="s">
        <v>1431</v>
      </c>
      <c r="AM1806" s="190" t="s">
        <v>1493</v>
      </c>
      <c r="AN1806" s="190" t="s">
        <v>1538</v>
      </c>
      <c r="AO1806" s="191">
        <v>12</v>
      </c>
    </row>
    <row r="1807" spans="36:41" ht="13" x14ac:dyDescent="0.3">
      <c r="AJ1807" s="184" t="s">
        <v>2215</v>
      </c>
      <c r="AK1807" s="184" t="s">
        <v>135</v>
      </c>
      <c r="AL1807" s="33" t="s">
        <v>1431</v>
      </c>
      <c r="AM1807" s="190" t="s">
        <v>1493</v>
      </c>
      <c r="AN1807" s="190" t="s">
        <v>1538</v>
      </c>
      <c r="AO1807" s="191">
        <v>12</v>
      </c>
    </row>
    <row r="1808" spans="36:41" ht="13" x14ac:dyDescent="0.3">
      <c r="AJ1808" s="184" t="s">
        <v>2216</v>
      </c>
      <c r="AK1808" s="184" t="s">
        <v>135</v>
      </c>
      <c r="AL1808" s="33" t="s">
        <v>1431</v>
      </c>
      <c r="AM1808" s="190" t="s">
        <v>1493</v>
      </c>
      <c r="AN1808" s="190" t="s">
        <v>1538</v>
      </c>
      <c r="AO1808" s="191">
        <v>12</v>
      </c>
    </row>
    <row r="1809" spans="36:41" ht="13" x14ac:dyDescent="0.3">
      <c r="AJ1809" s="184" t="s">
        <v>2217</v>
      </c>
      <c r="AK1809" s="184" t="s">
        <v>135</v>
      </c>
      <c r="AL1809" s="33" t="s">
        <v>1431</v>
      </c>
      <c r="AM1809" s="190" t="s">
        <v>1493</v>
      </c>
      <c r="AN1809" s="190" t="s">
        <v>1538</v>
      </c>
      <c r="AO1809" s="191">
        <v>12</v>
      </c>
    </row>
    <row r="1810" spans="36:41" ht="13" x14ac:dyDescent="0.3">
      <c r="AJ1810" s="184" t="s">
        <v>2218</v>
      </c>
      <c r="AK1810" s="184" t="s">
        <v>135</v>
      </c>
      <c r="AL1810" s="33" t="s">
        <v>1431</v>
      </c>
      <c r="AM1810" s="190" t="s">
        <v>1493</v>
      </c>
      <c r="AN1810" s="190" t="s">
        <v>1538</v>
      </c>
      <c r="AO1810" s="191">
        <v>12</v>
      </c>
    </row>
    <row r="1811" spans="36:41" ht="13" x14ac:dyDescent="0.3">
      <c r="AJ1811" s="184" t="s">
        <v>2219</v>
      </c>
      <c r="AK1811" s="184" t="s">
        <v>135</v>
      </c>
      <c r="AL1811" s="33" t="s">
        <v>1431</v>
      </c>
      <c r="AM1811" s="190" t="s">
        <v>1493</v>
      </c>
      <c r="AN1811" s="190" t="s">
        <v>1538</v>
      </c>
      <c r="AO1811" s="191">
        <v>12</v>
      </c>
    </row>
    <row r="1812" spans="36:41" ht="13" x14ac:dyDescent="0.3">
      <c r="AJ1812" s="184" t="s">
        <v>2220</v>
      </c>
      <c r="AK1812" s="184" t="s">
        <v>135</v>
      </c>
      <c r="AL1812" s="33" t="s">
        <v>1431</v>
      </c>
      <c r="AM1812" s="190" t="s">
        <v>1487</v>
      </c>
      <c r="AN1812" s="190" t="s">
        <v>1538</v>
      </c>
      <c r="AO1812" s="191">
        <v>12</v>
      </c>
    </row>
    <row r="1813" spans="36:41" ht="13" x14ac:dyDescent="0.3">
      <c r="AJ1813" s="184" t="s">
        <v>2221</v>
      </c>
      <c r="AK1813" s="184" t="s">
        <v>135</v>
      </c>
      <c r="AL1813" s="33" t="s">
        <v>1431</v>
      </c>
      <c r="AM1813" s="190" t="s">
        <v>1487</v>
      </c>
      <c r="AN1813" s="190" t="s">
        <v>1538</v>
      </c>
      <c r="AO1813" s="191">
        <v>12</v>
      </c>
    </row>
    <row r="1814" spans="36:41" ht="13" x14ac:dyDescent="0.3">
      <c r="AJ1814" s="184" t="s">
        <v>2222</v>
      </c>
      <c r="AK1814" s="184" t="s">
        <v>135</v>
      </c>
      <c r="AL1814" s="33" t="s">
        <v>1431</v>
      </c>
      <c r="AM1814" s="190" t="s">
        <v>1487</v>
      </c>
      <c r="AN1814" s="190" t="s">
        <v>1538</v>
      </c>
      <c r="AO1814" s="191">
        <v>12</v>
      </c>
    </row>
    <row r="1815" spans="36:41" ht="13" x14ac:dyDescent="0.3">
      <c r="AJ1815" s="184" t="s">
        <v>2223</v>
      </c>
      <c r="AK1815" s="184" t="s">
        <v>135</v>
      </c>
      <c r="AL1815" s="33" t="s">
        <v>1431</v>
      </c>
      <c r="AM1815" s="190" t="s">
        <v>1487</v>
      </c>
      <c r="AN1815" s="190" t="s">
        <v>1538</v>
      </c>
      <c r="AO1815" s="191">
        <v>12</v>
      </c>
    </row>
    <row r="1816" spans="36:41" ht="13" x14ac:dyDescent="0.3">
      <c r="AJ1816" s="184" t="s">
        <v>2224</v>
      </c>
      <c r="AK1816" s="184" t="s">
        <v>135</v>
      </c>
      <c r="AL1816" s="33" t="s">
        <v>1431</v>
      </c>
      <c r="AM1816" s="190" t="s">
        <v>1487</v>
      </c>
      <c r="AN1816" s="190" t="s">
        <v>1538</v>
      </c>
      <c r="AO1816" s="191">
        <v>12</v>
      </c>
    </row>
    <row r="1817" spans="36:41" ht="13" x14ac:dyDescent="0.3">
      <c r="AJ1817" s="184" t="s">
        <v>2225</v>
      </c>
      <c r="AK1817" s="184" t="s">
        <v>135</v>
      </c>
      <c r="AL1817" s="33" t="s">
        <v>1431</v>
      </c>
      <c r="AM1817" s="190" t="s">
        <v>1487</v>
      </c>
      <c r="AN1817" s="190" t="s">
        <v>1538</v>
      </c>
      <c r="AO1817" s="191">
        <v>12</v>
      </c>
    </row>
    <row r="1818" spans="36:41" ht="13" x14ac:dyDescent="0.3">
      <c r="AJ1818" s="184" t="s">
        <v>2226</v>
      </c>
      <c r="AK1818" s="184" t="s">
        <v>135</v>
      </c>
      <c r="AL1818" s="33" t="s">
        <v>1431</v>
      </c>
      <c r="AM1818" s="190" t="s">
        <v>1492</v>
      </c>
      <c r="AN1818" s="190" t="s">
        <v>1538</v>
      </c>
      <c r="AO1818" s="191">
        <v>12</v>
      </c>
    </row>
    <row r="1819" spans="36:41" ht="13" x14ac:dyDescent="0.3">
      <c r="AJ1819" s="184" t="s">
        <v>2227</v>
      </c>
      <c r="AK1819" s="184" t="s">
        <v>135</v>
      </c>
      <c r="AL1819" s="33" t="s">
        <v>1431</v>
      </c>
      <c r="AM1819" s="190" t="s">
        <v>1492</v>
      </c>
      <c r="AN1819" s="190" t="s">
        <v>1538</v>
      </c>
      <c r="AO1819" s="191">
        <v>12</v>
      </c>
    </row>
    <row r="1820" spans="36:41" ht="13" x14ac:dyDescent="0.3">
      <c r="AJ1820" s="184" t="s">
        <v>2228</v>
      </c>
      <c r="AK1820" s="184" t="s">
        <v>135</v>
      </c>
      <c r="AL1820" s="33" t="s">
        <v>1431</v>
      </c>
      <c r="AM1820" s="190" t="s">
        <v>1492</v>
      </c>
      <c r="AN1820" s="190" t="s">
        <v>1538</v>
      </c>
      <c r="AO1820" s="191">
        <v>12</v>
      </c>
    </row>
    <row r="1821" spans="36:41" ht="13" x14ac:dyDescent="0.3">
      <c r="AJ1821" s="184" t="s">
        <v>2229</v>
      </c>
      <c r="AK1821" s="184" t="s">
        <v>135</v>
      </c>
      <c r="AL1821" s="33" t="s">
        <v>1431</v>
      </c>
      <c r="AM1821" s="190" t="s">
        <v>1492</v>
      </c>
      <c r="AN1821" s="190" t="s">
        <v>1538</v>
      </c>
      <c r="AO1821" s="191">
        <v>12</v>
      </c>
    </row>
    <row r="1822" spans="36:41" ht="13" x14ac:dyDescent="0.3">
      <c r="AJ1822" s="184" t="s">
        <v>2230</v>
      </c>
      <c r="AK1822" s="184" t="s">
        <v>135</v>
      </c>
      <c r="AL1822" s="33" t="s">
        <v>1431</v>
      </c>
      <c r="AM1822" s="190" t="s">
        <v>1492</v>
      </c>
      <c r="AN1822" s="190" t="s">
        <v>1538</v>
      </c>
      <c r="AO1822" s="191">
        <v>12</v>
      </c>
    </row>
    <row r="1823" spans="36:41" ht="13" x14ac:dyDescent="0.3">
      <c r="AJ1823" s="184" t="s">
        <v>2231</v>
      </c>
      <c r="AK1823" s="184" t="s">
        <v>135</v>
      </c>
      <c r="AL1823" s="33" t="s">
        <v>1431</v>
      </c>
      <c r="AM1823" s="190" t="s">
        <v>1483</v>
      </c>
      <c r="AN1823" s="190" t="s">
        <v>1538</v>
      </c>
      <c r="AO1823" s="191">
        <v>12</v>
      </c>
    </row>
    <row r="1824" spans="36:41" ht="13" x14ac:dyDescent="0.3">
      <c r="AJ1824" s="184" t="s">
        <v>2232</v>
      </c>
      <c r="AK1824" s="184" t="s">
        <v>135</v>
      </c>
      <c r="AL1824" s="33" t="s">
        <v>1431</v>
      </c>
      <c r="AM1824" s="190" t="s">
        <v>1483</v>
      </c>
      <c r="AN1824" s="190" t="s">
        <v>1538</v>
      </c>
      <c r="AO1824" s="191">
        <v>12</v>
      </c>
    </row>
    <row r="1825" spans="36:41" ht="13" x14ac:dyDescent="0.3">
      <c r="AJ1825" s="184" t="s">
        <v>2233</v>
      </c>
      <c r="AK1825" s="184" t="s">
        <v>135</v>
      </c>
      <c r="AL1825" s="33" t="s">
        <v>1431</v>
      </c>
      <c r="AM1825" s="190" t="s">
        <v>1483</v>
      </c>
      <c r="AN1825" s="190" t="s">
        <v>1538</v>
      </c>
      <c r="AO1825" s="191">
        <v>12</v>
      </c>
    </row>
    <row r="1826" spans="36:41" ht="13" x14ac:dyDescent="0.3">
      <c r="AJ1826" s="184" t="s">
        <v>2234</v>
      </c>
      <c r="AK1826" s="184" t="s">
        <v>135</v>
      </c>
      <c r="AL1826" s="33" t="s">
        <v>1431</v>
      </c>
      <c r="AM1826" s="190" t="s">
        <v>1483</v>
      </c>
      <c r="AN1826" s="190" t="s">
        <v>1538</v>
      </c>
      <c r="AO1826" s="191">
        <v>12</v>
      </c>
    </row>
    <row r="1827" spans="36:41" ht="13" x14ac:dyDescent="0.3">
      <c r="AJ1827" s="184" t="s">
        <v>2235</v>
      </c>
      <c r="AK1827" s="184" t="s">
        <v>135</v>
      </c>
      <c r="AL1827" s="33" t="s">
        <v>1431</v>
      </c>
      <c r="AM1827" s="190" t="s">
        <v>1483</v>
      </c>
      <c r="AN1827" s="190" t="s">
        <v>1538</v>
      </c>
      <c r="AO1827" s="191">
        <v>12</v>
      </c>
    </row>
    <row r="1828" spans="36:41" ht="13" x14ac:dyDescent="0.3">
      <c r="AJ1828" s="184" t="s">
        <v>2236</v>
      </c>
      <c r="AK1828" s="184" t="s">
        <v>135</v>
      </c>
      <c r="AL1828" s="33" t="s">
        <v>1431</v>
      </c>
      <c r="AM1828" s="190" t="s">
        <v>1483</v>
      </c>
      <c r="AN1828" s="190" t="s">
        <v>1538</v>
      </c>
      <c r="AO1828" s="191">
        <v>12</v>
      </c>
    </row>
    <row r="1829" spans="36:41" ht="13" x14ac:dyDescent="0.3">
      <c r="AJ1829" s="184" t="s">
        <v>2237</v>
      </c>
      <c r="AK1829" s="184" t="s">
        <v>135</v>
      </c>
      <c r="AL1829" s="33" t="s">
        <v>1431</v>
      </c>
      <c r="AM1829" s="190" t="s">
        <v>1492</v>
      </c>
      <c r="AN1829" s="190" t="s">
        <v>1538</v>
      </c>
      <c r="AO1829" s="191">
        <v>12</v>
      </c>
    </row>
    <row r="1830" spans="36:41" ht="13" x14ac:dyDescent="0.3">
      <c r="AJ1830" s="184" t="s">
        <v>2238</v>
      </c>
      <c r="AK1830" s="184" t="s">
        <v>135</v>
      </c>
      <c r="AL1830" s="33" t="s">
        <v>1431</v>
      </c>
      <c r="AM1830" s="190" t="s">
        <v>1492</v>
      </c>
      <c r="AN1830" s="190" t="s">
        <v>1538</v>
      </c>
      <c r="AO1830" s="191">
        <v>12</v>
      </c>
    </row>
    <row r="1831" spans="36:41" ht="13" x14ac:dyDescent="0.3">
      <c r="AJ1831" s="184" t="s">
        <v>2239</v>
      </c>
      <c r="AK1831" s="184" t="s">
        <v>135</v>
      </c>
      <c r="AL1831" s="33" t="s">
        <v>1431</v>
      </c>
      <c r="AM1831" s="190" t="s">
        <v>1492</v>
      </c>
      <c r="AN1831" s="190" t="s">
        <v>1538</v>
      </c>
      <c r="AO1831" s="191">
        <v>12</v>
      </c>
    </row>
    <row r="1832" spans="36:41" ht="13" x14ac:dyDescent="0.3">
      <c r="AJ1832" s="184" t="s">
        <v>2240</v>
      </c>
      <c r="AK1832" s="184" t="s">
        <v>135</v>
      </c>
      <c r="AL1832" s="33" t="s">
        <v>1431</v>
      </c>
      <c r="AM1832" s="190" t="s">
        <v>1492</v>
      </c>
      <c r="AN1832" s="190" t="s">
        <v>1538</v>
      </c>
      <c r="AO1832" s="191">
        <v>12</v>
      </c>
    </row>
    <row r="1833" spans="36:41" ht="13" x14ac:dyDescent="0.3">
      <c r="AJ1833" s="184" t="s">
        <v>2241</v>
      </c>
      <c r="AK1833" s="184" t="s">
        <v>135</v>
      </c>
      <c r="AL1833" s="33" t="s">
        <v>1431</v>
      </c>
      <c r="AM1833" s="190" t="s">
        <v>1492</v>
      </c>
      <c r="AN1833" s="190" t="s">
        <v>1538</v>
      </c>
      <c r="AO1833" s="191">
        <v>12</v>
      </c>
    </row>
    <row r="1834" spans="36:41" ht="13" x14ac:dyDescent="0.3">
      <c r="AJ1834" s="184" t="s">
        <v>2242</v>
      </c>
      <c r="AK1834" s="184" t="s">
        <v>135</v>
      </c>
      <c r="AL1834" s="33" t="s">
        <v>1431</v>
      </c>
      <c r="AM1834" s="190" t="s">
        <v>1492</v>
      </c>
      <c r="AN1834" s="190" t="s">
        <v>1538</v>
      </c>
      <c r="AO1834" s="191">
        <v>12</v>
      </c>
    </row>
    <row r="1835" spans="36:41" ht="13" x14ac:dyDescent="0.3">
      <c r="AJ1835" s="184" t="s">
        <v>2243</v>
      </c>
      <c r="AK1835" s="184" t="s">
        <v>135</v>
      </c>
      <c r="AL1835" s="33" t="s">
        <v>1431</v>
      </c>
      <c r="AM1835" s="190" t="s">
        <v>1492</v>
      </c>
      <c r="AN1835" s="190" t="s">
        <v>1538</v>
      </c>
      <c r="AO1835" s="191">
        <v>12</v>
      </c>
    </row>
    <row r="1836" spans="36:41" ht="13" x14ac:dyDescent="0.3">
      <c r="AJ1836" s="184" t="s">
        <v>2244</v>
      </c>
      <c r="AK1836" s="184" t="s">
        <v>135</v>
      </c>
      <c r="AL1836" s="33" t="s">
        <v>1431</v>
      </c>
      <c r="AM1836" s="190" t="s">
        <v>2345</v>
      </c>
      <c r="AN1836" s="190" t="s">
        <v>1538</v>
      </c>
      <c r="AO1836" s="191">
        <v>12</v>
      </c>
    </row>
    <row r="1837" spans="36:41" ht="13" x14ac:dyDescent="0.3">
      <c r="AJ1837" s="184" t="s">
        <v>2245</v>
      </c>
      <c r="AK1837" s="184" t="s">
        <v>135</v>
      </c>
      <c r="AL1837" s="33" t="s">
        <v>1431</v>
      </c>
      <c r="AM1837" s="190" t="s">
        <v>2345</v>
      </c>
      <c r="AN1837" s="190" t="s">
        <v>1538</v>
      </c>
      <c r="AO1837" s="191">
        <v>12</v>
      </c>
    </row>
    <row r="1838" spans="36:41" ht="13" x14ac:dyDescent="0.3">
      <c r="AJ1838" s="184" t="s">
        <v>2246</v>
      </c>
      <c r="AK1838" s="184" t="s">
        <v>135</v>
      </c>
      <c r="AL1838" s="33" t="s">
        <v>1431</v>
      </c>
      <c r="AM1838" s="190" t="s">
        <v>2345</v>
      </c>
      <c r="AN1838" s="190" t="s">
        <v>1538</v>
      </c>
      <c r="AO1838" s="191">
        <v>12</v>
      </c>
    </row>
    <row r="1839" spans="36:41" ht="13" x14ac:dyDescent="0.3">
      <c r="AJ1839" s="184" t="s">
        <v>2247</v>
      </c>
      <c r="AK1839" s="184" t="s">
        <v>135</v>
      </c>
      <c r="AL1839" s="33" t="s">
        <v>1431</v>
      </c>
      <c r="AM1839" s="190" t="s">
        <v>2345</v>
      </c>
      <c r="AN1839" s="190" t="s">
        <v>1538</v>
      </c>
      <c r="AO1839" s="191">
        <v>12</v>
      </c>
    </row>
    <row r="1840" spans="36:41" ht="13" x14ac:dyDescent="0.3">
      <c r="AJ1840" s="184" t="s">
        <v>2248</v>
      </c>
      <c r="AK1840" s="184" t="s">
        <v>135</v>
      </c>
      <c r="AL1840" s="33" t="s">
        <v>1431</v>
      </c>
      <c r="AM1840" s="190" t="s">
        <v>2345</v>
      </c>
      <c r="AN1840" s="190" t="s">
        <v>1538</v>
      </c>
      <c r="AO1840" s="191">
        <v>12</v>
      </c>
    </row>
    <row r="1841" spans="36:41" ht="13" x14ac:dyDescent="0.3">
      <c r="AJ1841" s="184" t="s">
        <v>2249</v>
      </c>
      <c r="AK1841" s="184" t="s">
        <v>136</v>
      </c>
      <c r="AL1841" s="33" t="s">
        <v>1431</v>
      </c>
      <c r="AM1841" s="192" t="s">
        <v>2346</v>
      </c>
      <c r="AN1841" s="190" t="s">
        <v>1538</v>
      </c>
      <c r="AO1841" s="191">
        <v>6</v>
      </c>
    </row>
    <row r="1842" spans="36:41" ht="13" x14ac:dyDescent="0.3">
      <c r="AJ1842" s="184" t="s">
        <v>2250</v>
      </c>
      <c r="AK1842" s="184" t="s">
        <v>136</v>
      </c>
      <c r="AL1842" s="33" t="s">
        <v>1431</v>
      </c>
      <c r="AM1842" s="192" t="s">
        <v>2347</v>
      </c>
      <c r="AN1842" s="190" t="s">
        <v>1538</v>
      </c>
      <c r="AO1842" s="191">
        <v>6</v>
      </c>
    </row>
    <row r="1843" spans="36:41" ht="13" x14ac:dyDescent="0.3">
      <c r="AJ1843" s="184" t="s">
        <v>2251</v>
      </c>
      <c r="AK1843" s="184" t="s">
        <v>136</v>
      </c>
      <c r="AL1843" s="33" t="s">
        <v>1431</v>
      </c>
      <c r="AM1843" s="192" t="s">
        <v>2348</v>
      </c>
      <c r="AN1843" s="190" t="s">
        <v>1538</v>
      </c>
      <c r="AO1843" s="191">
        <v>6</v>
      </c>
    </row>
    <row r="1844" spans="36:41" ht="13" x14ac:dyDescent="0.3">
      <c r="AJ1844" s="184" t="s">
        <v>2252</v>
      </c>
      <c r="AK1844" s="184" t="s">
        <v>136</v>
      </c>
      <c r="AL1844" s="33" t="s">
        <v>1431</v>
      </c>
      <c r="AM1844" s="192" t="s">
        <v>2349</v>
      </c>
      <c r="AN1844" s="190" t="s">
        <v>1538</v>
      </c>
      <c r="AO1844" s="191">
        <v>6</v>
      </c>
    </row>
    <row r="1845" spans="36:41" ht="13" x14ac:dyDescent="0.3">
      <c r="AJ1845" s="184" t="s">
        <v>2253</v>
      </c>
      <c r="AK1845" s="184" t="s">
        <v>136</v>
      </c>
      <c r="AL1845" s="33" t="s">
        <v>1431</v>
      </c>
      <c r="AM1845" s="192" t="s">
        <v>2350</v>
      </c>
      <c r="AN1845" s="190" t="s">
        <v>1538</v>
      </c>
      <c r="AO1845" s="191">
        <v>6</v>
      </c>
    </row>
    <row r="1846" spans="36:41" ht="13" x14ac:dyDescent="0.3">
      <c r="AJ1846" s="184" t="s">
        <v>2254</v>
      </c>
      <c r="AK1846" s="184" t="s">
        <v>136</v>
      </c>
      <c r="AL1846" s="33" t="s">
        <v>1431</v>
      </c>
      <c r="AM1846" s="192" t="s">
        <v>2351</v>
      </c>
      <c r="AN1846" s="190" t="s">
        <v>1538</v>
      </c>
      <c r="AO1846" s="191">
        <v>6</v>
      </c>
    </row>
    <row r="1847" spans="36:41" ht="13" x14ac:dyDescent="0.3">
      <c r="AJ1847" s="184" t="s">
        <v>2255</v>
      </c>
      <c r="AK1847" s="184" t="s">
        <v>136</v>
      </c>
      <c r="AL1847" s="33" t="s">
        <v>1431</v>
      </c>
      <c r="AM1847" s="192" t="s">
        <v>2352</v>
      </c>
      <c r="AN1847" s="190" t="s">
        <v>1538</v>
      </c>
      <c r="AO1847" s="191">
        <v>6</v>
      </c>
    </row>
    <row r="1848" spans="36:41" ht="13" x14ac:dyDescent="0.3">
      <c r="AJ1848" s="184" t="s">
        <v>2256</v>
      </c>
      <c r="AK1848" s="184" t="s">
        <v>136</v>
      </c>
      <c r="AL1848" s="33" t="s">
        <v>1431</v>
      </c>
      <c r="AM1848" s="192" t="s">
        <v>2353</v>
      </c>
      <c r="AN1848" s="190" t="s">
        <v>1538</v>
      </c>
      <c r="AO1848" s="191">
        <v>6</v>
      </c>
    </row>
    <row r="1849" spans="36:41" ht="13" x14ac:dyDescent="0.3">
      <c r="AJ1849" s="184" t="s">
        <v>2257</v>
      </c>
      <c r="AK1849" s="184" t="s">
        <v>136</v>
      </c>
      <c r="AL1849" s="33" t="s">
        <v>1431</v>
      </c>
      <c r="AM1849" s="192" t="s">
        <v>2354</v>
      </c>
      <c r="AN1849" s="190" t="s">
        <v>1538</v>
      </c>
      <c r="AO1849" s="191">
        <v>6</v>
      </c>
    </row>
    <row r="1850" spans="36:41" ht="13" x14ac:dyDescent="0.3">
      <c r="AJ1850" s="184" t="s">
        <v>2258</v>
      </c>
      <c r="AK1850" s="184" t="s">
        <v>136</v>
      </c>
      <c r="AL1850" s="33" t="s">
        <v>1431</v>
      </c>
      <c r="AM1850" s="192" t="s">
        <v>2355</v>
      </c>
      <c r="AN1850" s="190" t="s">
        <v>1538</v>
      </c>
      <c r="AO1850" s="191">
        <v>6</v>
      </c>
    </row>
    <row r="1851" spans="36:41" ht="13" x14ac:dyDescent="0.3">
      <c r="AJ1851" s="184" t="s">
        <v>2259</v>
      </c>
      <c r="AK1851" s="184" t="s">
        <v>136</v>
      </c>
      <c r="AL1851" s="33" t="s">
        <v>1431</v>
      </c>
      <c r="AM1851" s="192" t="s">
        <v>2356</v>
      </c>
      <c r="AN1851" s="190" t="s">
        <v>1538</v>
      </c>
      <c r="AO1851" s="191">
        <v>6</v>
      </c>
    </row>
    <row r="1852" spans="36:41" ht="13" x14ac:dyDescent="0.3">
      <c r="AJ1852" s="184" t="s">
        <v>2260</v>
      </c>
      <c r="AK1852" s="184" t="s">
        <v>136</v>
      </c>
      <c r="AL1852" s="33" t="s">
        <v>1431</v>
      </c>
      <c r="AM1852" s="192" t="s">
        <v>2357</v>
      </c>
      <c r="AN1852" s="190" t="s">
        <v>1538</v>
      </c>
      <c r="AO1852" s="191">
        <v>6</v>
      </c>
    </row>
    <row r="1853" spans="36:41" ht="13" x14ac:dyDescent="0.3">
      <c r="AJ1853" s="184" t="s">
        <v>2261</v>
      </c>
      <c r="AK1853" s="184" t="s">
        <v>136</v>
      </c>
      <c r="AL1853" s="33" t="s">
        <v>1431</v>
      </c>
      <c r="AM1853" s="192" t="s">
        <v>2358</v>
      </c>
      <c r="AN1853" s="190" t="s">
        <v>1538</v>
      </c>
      <c r="AO1853" s="191">
        <v>6</v>
      </c>
    </row>
    <row r="1854" spans="36:41" ht="13" x14ac:dyDescent="0.3">
      <c r="AJ1854" s="184" t="s">
        <v>2262</v>
      </c>
      <c r="AK1854" s="184" t="s">
        <v>136</v>
      </c>
      <c r="AL1854" s="33" t="s">
        <v>1431</v>
      </c>
      <c r="AM1854" s="190" t="s">
        <v>2359</v>
      </c>
      <c r="AN1854" s="190" t="s">
        <v>1535</v>
      </c>
      <c r="AO1854" s="191">
        <v>6</v>
      </c>
    </row>
    <row r="1855" spans="36:41" ht="13" x14ac:dyDescent="0.3">
      <c r="AJ1855" s="184" t="s">
        <v>2263</v>
      </c>
      <c r="AK1855" s="184" t="s">
        <v>135</v>
      </c>
      <c r="AL1855" s="33" t="s">
        <v>1431</v>
      </c>
      <c r="AM1855" s="190" t="s">
        <v>2359</v>
      </c>
      <c r="AN1855" s="190" t="s">
        <v>1535</v>
      </c>
      <c r="AO1855" s="191">
        <v>12</v>
      </c>
    </row>
    <row r="1856" spans="36:41" ht="13" x14ac:dyDescent="0.3">
      <c r="AJ1856" s="184" t="s">
        <v>2264</v>
      </c>
      <c r="AK1856" s="184" t="s">
        <v>136</v>
      </c>
      <c r="AL1856" s="33" t="s">
        <v>1431</v>
      </c>
      <c r="AM1856" s="190" t="s">
        <v>2360</v>
      </c>
      <c r="AN1856" s="190" t="s">
        <v>1535</v>
      </c>
      <c r="AO1856" s="191">
        <v>6</v>
      </c>
    </row>
    <row r="1857" spans="36:41" ht="13" x14ac:dyDescent="0.3">
      <c r="AJ1857" s="184" t="s">
        <v>2265</v>
      </c>
      <c r="AK1857" s="184" t="s">
        <v>135</v>
      </c>
      <c r="AL1857" s="33" t="s">
        <v>1431</v>
      </c>
      <c r="AM1857" s="190" t="s">
        <v>2360</v>
      </c>
      <c r="AN1857" s="190" t="s">
        <v>1535</v>
      </c>
      <c r="AO1857" s="191">
        <v>12</v>
      </c>
    </row>
    <row r="1858" spans="36:41" ht="13" x14ac:dyDescent="0.3">
      <c r="AJ1858" s="184" t="s">
        <v>2266</v>
      </c>
      <c r="AK1858" s="184" t="s">
        <v>136</v>
      </c>
      <c r="AL1858" s="33" t="s">
        <v>1431</v>
      </c>
      <c r="AM1858" s="192" t="s">
        <v>2361</v>
      </c>
      <c r="AN1858" s="190" t="s">
        <v>1538</v>
      </c>
      <c r="AO1858" s="191">
        <v>6</v>
      </c>
    </row>
    <row r="1859" spans="36:41" ht="13" x14ac:dyDescent="0.3">
      <c r="AJ1859" s="184" t="s">
        <v>2267</v>
      </c>
      <c r="AK1859" s="184" t="s">
        <v>136</v>
      </c>
      <c r="AL1859" s="33" t="s">
        <v>1431</v>
      </c>
      <c r="AM1859" s="192" t="s">
        <v>2362</v>
      </c>
      <c r="AN1859" s="190" t="s">
        <v>1538</v>
      </c>
      <c r="AO1859" s="191">
        <v>6</v>
      </c>
    </row>
    <row r="1860" spans="36:41" ht="13" x14ac:dyDescent="0.3">
      <c r="AJ1860" s="184" t="s">
        <v>2268</v>
      </c>
      <c r="AK1860" s="184" t="s">
        <v>135</v>
      </c>
      <c r="AL1860" s="33" t="s">
        <v>1431</v>
      </c>
      <c r="AM1860" s="192" t="s">
        <v>1798</v>
      </c>
      <c r="AN1860" s="190" t="s">
        <v>1538</v>
      </c>
      <c r="AO1860" s="191">
        <v>12</v>
      </c>
    </row>
    <row r="1861" spans="36:41" ht="13" x14ac:dyDescent="0.3">
      <c r="AJ1861" s="184" t="s">
        <v>2269</v>
      </c>
      <c r="AK1861" s="184" t="s">
        <v>135</v>
      </c>
      <c r="AL1861" s="33" t="s">
        <v>1431</v>
      </c>
      <c r="AM1861" s="192" t="s">
        <v>1798</v>
      </c>
      <c r="AN1861" s="190" t="s">
        <v>1538</v>
      </c>
      <c r="AO1861" s="191">
        <v>12</v>
      </c>
    </row>
    <row r="1862" spans="36:41" ht="13" x14ac:dyDescent="0.3">
      <c r="AJ1862" s="184" t="s">
        <v>2270</v>
      </c>
      <c r="AK1862" s="184" t="s">
        <v>2271</v>
      </c>
      <c r="AL1862" s="33" t="s">
        <v>2326</v>
      </c>
      <c r="AM1862" s="192" t="s">
        <v>59</v>
      </c>
      <c r="AN1862" s="190" t="s">
        <v>59</v>
      </c>
      <c r="AO1862" s="191">
        <v>24</v>
      </c>
    </row>
    <row r="1863" spans="36:41" ht="13" x14ac:dyDescent="0.3">
      <c r="AJ1863" s="184" t="s">
        <v>2272</v>
      </c>
      <c r="AK1863" s="184" t="s">
        <v>2271</v>
      </c>
      <c r="AL1863" s="33" t="s">
        <v>2326</v>
      </c>
      <c r="AM1863" s="192" t="s">
        <v>59</v>
      </c>
      <c r="AN1863" s="190" t="s">
        <v>59</v>
      </c>
      <c r="AO1863" s="191">
        <v>24</v>
      </c>
    </row>
    <row r="1864" spans="36:41" ht="13" x14ac:dyDescent="0.3">
      <c r="AJ1864" s="184" t="s">
        <v>2273</v>
      </c>
      <c r="AK1864" s="184" t="s">
        <v>2274</v>
      </c>
      <c r="AL1864" s="33" t="s">
        <v>1431</v>
      </c>
      <c r="AM1864" s="192" t="s">
        <v>1438</v>
      </c>
      <c r="AN1864" s="190" t="s">
        <v>1535</v>
      </c>
      <c r="AO1864" s="191">
        <v>12</v>
      </c>
    </row>
    <row r="1865" spans="36:41" ht="13" x14ac:dyDescent="0.3">
      <c r="AJ1865" s="184" t="s">
        <v>2275</v>
      </c>
      <c r="AK1865" s="184" t="s">
        <v>2274</v>
      </c>
      <c r="AL1865" s="33" t="s">
        <v>1431</v>
      </c>
      <c r="AM1865" s="192" t="s">
        <v>1438</v>
      </c>
      <c r="AN1865" s="190" t="s">
        <v>1535</v>
      </c>
      <c r="AO1865" s="191">
        <v>12</v>
      </c>
    </row>
    <row r="1866" spans="36:41" ht="13" x14ac:dyDescent="0.3">
      <c r="AJ1866" s="184" t="s">
        <v>2276</v>
      </c>
      <c r="AK1866" s="184" t="s">
        <v>2274</v>
      </c>
      <c r="AL1866" s="33" t="s">
        <v>1431</v>
      </c>
      <c r="AM1866" s="192" t="s">
        <v>1438</v>
      </c>
      <c r="AN1866" s="190" t="s">
        <v>1535</v>
      </c>
      <c r="AO1866" s="191">
        <v>12</v>
      </c>
    </row>
    <row r="1867" spans="36:41" ht="13" x14ac:dyDescent="0.3">
      <c r="AJ1867" s="184" t="s">
        <v>2277</v>
      </c>
      <c r="AK1867" s="184" t="s">
        <v>2274</v>
      </c>
      <c r="AL1867" s="33" t="s">
        <v>1431</v>
      </c>
      <c r="AM1867" s="192" t="s">
        <v>1438</v>
      </c>
      <c r="AN1867" s="190" t="s">
        <v>1535</v>
      </c>
      <c r="AO1867" s="191">
        <v>12</v>
      </c>
    </row>
    <row r="1868" spans="36:41" ht="13" x14ac:dyDescent="0.3">
      <c r="AJ1868" s="184" t="s">
        <v>2278</v>
      </c>
      <c r="AK1868" s="184" t="s">
        <v>2274</v>
      </c>
      <c r="AL1868" s="33" t="s">
        <v>1431</v>
      </c>
      <c r="AM1868" s="192" t="s">
        <v>1438</v>
      </c>
      <c r="AN1868" s="190" t="s">
        <v>1535</v>
      </c>
      <c r="AO1868" s="191">
        <v>12</v>
      </c>
    </row>
    <row r="1869" spans="36:41" ht="13" x14ac:dyDescent="0.3">
      <c r="AJ1869" s="184" t="s">
        <v>2279</v>
      </c>
      <c r="AK1869" s="184" t="s">
        <v>2274</v>
      </c>
      <c r="AL1869" s="33" t="s">
        <v>1431</v>
      </c>
      <c r="AM1869" s="192" t="s">
        <v>1437</v>
      </c>
      <c r="AN1869" s="190" t="s">
        <v>1535</v>
      </c>
      <c r="AO1869" s="191">
        <v>12</v>
      </c>
    </row>
    <row r="1870" spans="36:41" ht="13" x14ac:dyDescent="0.3">
      <c r="AJ1870" s="184" t="s">
        <v>2280</v>
      </c>
      <c r="AK1870" s="184" t="s">
        <v>2274</v>
      </c>
      <c r="AL1870" s="33" t="s">
        <v>1431</v>
      </c>
      <c r="AM1870" s="192" t="s">
        <v>1437</v>
      </c>
      <c r="AN1870" s="190" t="s">
        <v>1535</v>
      </c>
      <c r="AO1870" s="191">
        <v>12</v>
      </c>
    </row>
    <row r="1871" spans="36:41" ht="13" x14ac:dyDescent="0.3">
      <c r="AJ1871" s="184" t="s">
        <v>2281</v>
      </c>
      <c r="AK1871" s="184" t="s">
        <v>2274</v>
      </c>
      <c r="AL1871" s="33" t="s">
        <v>1431</v>
      </c>
      <c r="AM1871" s="192" t="s">
        <v>1438</v>
      </c>
      <c r="AN1871" s="190" t="s">
        <v>1535</v>
      </c>
      <c r="AO1871" s="191">
        <v>12</v>
      </c>
    </row>
    <row r="1872" spans="36:41" ht="13" x14ac:dyDescent="0.3">
      <c r="AJ1872" s="184" t="s">
        <v>2282</v>
      </c>
      <c r="AK1872" s="184" t="s">
        <v>2274</v>
      </c>
      <c r="AL1872" s="33" t="s">
        <v>1431</v>
      </c>
      <c r="AM1872" s="192" t="s">
        <v>1438</v>
      </c>
      <c r="AN1872" s="190" t="s">
        <v>1535</v>
      </c>
      <c r="AO1872" s="191">
        <v>12</v>
      </c>
    </row>
    <row r="1873" spans="36:41" ht="13" x14ac:dyDescent="0.3">
      <c r="AJ1873" s="184" t="s">
        <v>2283</v>
      </c>
      <c r="AK1873" s="184" t="s">
        <v>2284</v>
      </c>
      <c r="AL1873" s="33" t="s">
        <v>2326</v>
      </c>
      <c r="AM1873" s="192" t="s">
        <v>1438</v>
      </c>
      <c r="AN1873" s="190" t="s">
        <v>1535</v>
      </c>
      <c r="AO1873" s="191">
        <v>12</v>
      </c>
    </row>
    <row r="1874" spans="36:41" ht="13" x14ac:dyDescent="0.3">
      <c r="AJ1874" s="184" t="s">
        <v>2285</v>
      </c>
      <c r="AK1874" s="184" t="s">
        <v>2284</v>
      </c>
      <c r="AL1874" s="33" t="s">
        <v>2326</v>
      </c>
      <c r="AM1874" s="192" t="s">
        <v>1438</v>
      </c>
      <c r="AN1874" s="190" t="s">
        <v>1535</v>
      </c>
      <c r="AO1874" s="191">
        <v>12</v>
      </c>
    </row>
    <row r="1875" spans="36:41" ht="13" x14ac:dyDescent="0.3">
      <c r="AJ1875" s="184" t="s">
        <v>2286</v>
      </c>
      <c r="AK1875" s="184" t="s">
        <v>2284</v>
      </c>
      <c r="AL1875" s="33" t="s">
        <v>2326</v>
      </c>
      <c r="AM1875" s="192" t="s">
        <v>1437</v>
      </c>
      <c r="AN1875" s="190" t="s">
        <v>1535</v>
      </c>
      <c r="AO1875" s="191">
        <v>12</v>
      </c>
    </row>
    <row r="1876" spans="36:41" ht="13" x14ac:dyDescent="0.3">
      <c r="AJ1876" s="184" t="s">
        <v>2287</v>
      </c>
      <c r="AK1876" s="184" t="s">
        <v>2284</v>
      </c>
      <c r="AL1876" s="33" t="s">
        <v>2326</v>
      </c>
      <c r="AM1876" s="192" t="s">
        <v>1438</v>
      </c>
      <c r="AN1876" s="190" t="s">
        <v>1535</v>
      </c>
      <c r="AO1876" s="191">
        <v>12</v>
      </c>
    </row>
    <row r="1877" spans="36:41" ht="13" x14ac:dyDescent="0.3">
      <c r="AJ1877" s="184" t="s">
        <v>2288</v>
      </c>
      <c r="AK1877" s="184" t="s">
        <v>2284</v>
      </c>
      <c r="AL1877" s="33" t="s">
        <v>2326</v>
      </c>
      <c r="AM1877" s="192" t="s">
        <v>1438</v>
      </c>
      <c r="AN1877" s="190" t="s">
        <v>1535</v>
      </c>
      <c r="AO1877" s="191">
        <v>12</v>
      </c>
    </row>
    <row r="1878" spans="36:41" ht="13" x14ac:dyDescent="0.3">
      <c r="AJ1878" s="184" t="s">
        <v>2289</v>
      </c>
      <c r="AK1878" s="184" t="s">
        <v>2284</v>
      </c>
      <c r="AL1878" s="33" t="s">
        <v>2326</v>
      </c>
      <c r="AM1878" s="192" t="s">
        <v>1438</v>
      </c>
      <c r="AN1878" s="190" t="s">
        <v>1535</v>
      </c>
      <c r="AO1878" s="191">
        <v>12</v>
      </c>
    </row>
    <row r="1879" spans="36:41" ht="13" x14ac:dyDescent="0.3">
      <c r="AJ1879" s="184" t="s">
        <v>2290</v>
      </c>
      <c r="AK1879" s="184" t="s">
        <v>2284</v>
      </c>
      <c r="AL1879" s="33" t="s">
        <v>2326</v>
      </c>
      <c r="AM1879" s="192" t="s">
        <v>1438</v>
      </c>
      <c r="AN1879" s="190" t="s">
        <v>1535</v>
      </c>
      <c r="AO1879" s="191">
        <v>12</v>
      </c>
    </row>
    <row r="1880" spans="36:41" ht="13" x14ac:dyDescent="0.3">
      <c r="AJ1880" s="184" t="s">
        <v>2291</v>
      </c>
      <c r="AK1880" s="184" t="s">
        <v>2284</v>
      </c>
      <c r="AL1880" s="33" t="s">
        <v>2326</v>
      </c>
      <c r="AM1880" s="192" t="s">
        <v>1438</v>
      </c>
      <c r="AN1880" s="190" t="s">
        <v>1535</v>
      </c>
      <c r="AO1880" s="191">
        <v>12</v>
      </c>
    </row>
    <row r="1881" spans="36:41" ht="13" x14ac:dyDescent="0.3">
      <c r="AJ1881" s="184" t="s">
        <v>2292</v>
      </c>
      <c r="AK1881" s="184" t="s">
        <v>2284</v>
      </c>
      <c r="AL1881" s="33" t="s">
        <v>2326</v>
      </c>
      <c r="AM1881" s="192" t="s">
        <v>1438</v>
      </c>
      <c r="AN1881" s="190" t="s">
        <v>1535</v>
      </c>
      <c r="AO1881" s="191">
        <v>12</v>
      </c>
    </row>
    <row r="1882" spans="36:41" ht="13" x14ac:dyDescent="0.3">
      <c r="AJ1882" s="184" t="s">
        <v>2293</v>
      </c>
      <c r="AK1882" s="184" t="s">
        <v>135</v>
      </c>
      <c r="AL1882" s="33" t="s">
        <v>1431</v>
      </c>
      <c r="AM1882" s="192" t="s">
        <v>2360</v>
      </c>
      <c r="AN1882" s="190" t="s">
        <v>1535</v>
      </c>
      <c r="AO1882" s="191">
        <v>12</v>
      </c>
    </row>
    <row r="1883" spans="36:41" ht="13" x14ac:dyDescent="0.3">
      <c r="AJ1883" s="184" t="s">
        <v>2294</v>
      </c>
      <c r="AK1883" s="184" t="s">
        <v>136</v>
      </c>
      <c r="AL1883" s="33" t="s">
        <v>1431</v>
      </c>
      <c r="AM1883" s="192" t="s">
        <v>2363</v>
      </c>
      <c r="AN1883" s="190" t="s">
        <v>1538</v>
      </c>
      <c r="AO1883" s="191">
        <v>6</v>
      </c>
    </row>
    <row r="1884" spans="36:41" ht="13" x14ac:dyDescent="0.3">
      <c r="AJ1884" s="184" t="s">
        <v>2295</v>
      </c>
      <c r="AK1884" s="184" t="s">
        <v>136</v>
      </c>
      <c r="AL1884" s="33" t="s">
        <v>1431</v>
      </c>
      <c r="AM1884" s="192" t="s">
        <v>2364</v>
      </c>
      <c r="AN1884" s="190" t="s">
        <v>1538</v>
      </c>
      <c r="AO1884" s="191">
        <v>6</v>
      </c>
    </row>
    <row r="1885" spans="36:41" ht="13" x14ac:dyDescent="0.3">
      <c r="AJ1885" s="184" t="s">
        <v>2296</v>
      </c>
      <c r="AK1885" s="184" t="s">
        <v>136</v>
      </c>
      <c r="AL1885" s="33" t="s">
        <v>1431</v>
      </c>
      <c r="AM1885" s="192" t="s">
        <v>2365</v>
      </c>
      <c r="AN1885" s="190" t="s">
        <v>1538</v>
      </c>
      <c r="AO1885" s="191">
        <v>6</v>
      </c>
    </row>
    <row r="1886" spans="36:41" ht="13" x14ac:dyDescent="0.3">
      <c r="AJ1886" s="184" t="s">
        <v>2297</v>
      </c>
      <c r="AK1886" s="184" t="s">
        <v>132</v>
      </c>
      <c r="AL1886" s="33" t="s">
        <v>1431</v>
      </c>
      <c r="AM1886" s="192" t="s">
        <v>1476</v>
      </c>
      <c r="AN1886" s="190" t="s">
        <v>1538</v>
      </c>
      <c r="AO1886" s="191">
        <v>12</v>
      </c>
    </row>
    <row r="1887" spans="36:41" ht="13" x14ac:dyDescent="0.3">
      <c r="AJ1887" s="184" t="s">
        <v>2298</v>
      </c>
      <c r="AK1887" s="184" t="s">
        <v>1670</v>
      </c>
      <c r="AL1887" s="33" t="s">
        <v>1431</v>
      </c>
      <c r="AM1887" s="192" t="s">
        <v>1476</v>
      </c>
      <c r="AN1887" s="190" t="s">
        <v>1538</v>
      </c>
      <c r="AO1887" s="191">
        <v>12</v>
      </c>
    </row>
    <row r="1888" spans="36:41" ht="13" x14ac:dyDescent="0.3">
      <c r="AJ1888" s="184" t="s">
        <v>2299</v>
      </c>
      <c r="AK1888" s="184" t="s">
        <v>136</v>
      </c>
      <c r="AL1888" s="33" t="s">
        <v>1431</v>
      </c>
      <c r="AM1888" s="192" t="s">
        <v>2366</v>
      </c>
      <c r="AN1888" s="190" t="s">
        <v>1538</v>
      </c>
      <c r="AO1888" s="191">
        <v>6</v>
      </c>
    </row>
    <row r="1889" spans="36:41" ht="13" x14ac:dyDescent="0.3">
      <c r="AJ1889" s="184" t="s">
        <v>2300</v>
      </c>
      <c r="AK1889" s="184" t="s">
        <v>136</v>
      </c>
      <c r="AL1889" s="33" t="s">
        <v>1431</v>
      </c>
      <c r="AM1889" s="192" t="s">
        <v>2367</v>
      </c>
      <c r="AN1889" s="190" t="s">
        <v>1538</v>
      </c>
      <c r="AO1889" s="191">
        <v>6</v>
      </c>
    </row>
    <row r="1890" spans="36:41" ht="13" x14ac:dyDescent="0.3">
      <c r="AJ1890" s="184" t="s">
        <v>2301</v>
      </c>
      <c r="AK1890" s="184" t="s">
        <v>136</v>
      </c>
      <c r="AL1890" s="33" t="s">
        <v>1431</v>
      </c>
      <c r="AM1890" s="192" t="s">
        <v>1529</v>
      </c>
      <c r="AN1890" s="190" t="s">
        <v>1538</v>
      </c>
      <c r="AO1890" s="191">
        <v>6</v>
      </c>
    </row>
    <row r="1891" spans="36:41" ht="13" x14ac:dyDescent="0.3">
      <c r="AJ1891" s="184" t="s">
        <v>2302</v>
      </c>
      <c r="AK1891" s="184" t="s">
        <v>2274</v>
      </c>
      <c r="AL1891" s="33" t="s">
        <v>1431</v>
      </c>
      <c r="AM1891" s="190" t="s">
        <v>1438</v>
      </c>
      <c r="AN1891" s="190" t="s">
        <v>1535</v>
      </c>
      <c r="AO1891" s="191">
        <v>12</v>
      </c>
    </row>
    <row r="1892" spans="36:41" ht="13" x14ac:dyDescent="0.3">
      <c r="AJ1892" s="184" t="s">
        <v>2303</v>
      </c>
      <c r="AK1892" s="184" t="s">
        <v>2304</v>
      </c>
      <c r="AL1892" s="33" t="s">
        <v>1431</v>
      </c>
      <c r="AM1892" s="190" t="s">
        <v>1438</v>
      </c>
      <c r="AN1892" s="190" t="s">
        <v>1535</v>
      </c>
      <c r="AO1892" s="191">
        <v>12</v>
      </c>
    </row>
    <row r="1893" spans="36:41" ht="13" x14ac:dyDescent="0.3">
      <c r="AJ1893" s="184" t="s">
        <v>2305</v>
      </c>
      <c r="AK1893" s="184" t="s">
        <v>100</v>
      </c>
      <c r="AL1893" s="33" t="s">
        <v>1431</v>
      </c>
      <c r="AM1893" s="192" t="s">
        <v>1444</v>
      </c>
      <c r="AN1893" s="190" t="s">
        <v>137</v>
      </c>
      <c r="AO1893" s="191">
        <v>12</v>
      </c>
    </row>
    <row r="1894" spans="36:41" ht="13" x14ac:dyDescent="0.3">
      <c r="AJ1894" s="184" t="s">
        <v>2306</v>
      </c>
      <c r="AK1894" s="184" t="s">
        <v>100</v>
      </c>
      <c r="AL1894" s="33" t="s">
        <v>1431</v>
      </c>
      <c r="AM1894" s="192" t="s">
        <v>1467</v>
      </c>
      <c r="AN1894" s="190" t="s">
        <v>137</v>
      </c>
      <c r="AO1894" s="191">
        <v>12</v>
      </c>
    </row>
    <row r="1895" spans="36:41" ht="13" x14ac:dyDescent="0.3">
      <c r="AJ1895" s="184" t="s">
        <v>2307</v>
      </c>
      <c r="AK1895" s="184" t="s">
        <v>100</v>
      </c>
      <c r="AL1895" s="33" t="s">
        <v>1431</v>
      </c>
      <c r="AM1895" s="192" t="s">
        <v>1467</v>
      </c>
      <c r="AN1895" s="190" t="s">
        <v>137</v>
      </c>
      <c r="AO1895" s="191">
        <v>12</v>
      </c>
    </row>
    <row r="1896" spans="36:41" ht="13" x14ac:dyDescent="0.3">
      <c r="AJ1896" s="184" t="s">
        <v>2308</v>
      </c>
      <c r="AK1896" s="184" t="s">
        <v>100</v>
      </c>
      <c r="AL1896" s="33" t="s">
        <v>1431</v>
      </c>
      <c r="AM1896" s="192" t="s">
        <v>1467</v>
      </c>
      <c r="AN1896" s="190" t="s">
        <v>137</v>
      </c>
      <c r="AO1896" s="191">
        <v>12</v>
      </c>
    </row>
    <row r="1897" spans="36:41" ht="13" x14ac:dyDescent="0.3">
      <c r="AJ1897" s="184" t="s">
        <v>2309</v>
      </c>
      <c r="AK1897" s="184" t="s">
        <v>100</v>
      </c>
      <c r="AL1897" s="33" t="s">
        <v>1431</v>
      </c>
      <c r="AM1897" s="192" t="s">
        <v>1467</v>
      </c>
      <c r="AN1897" s="190" t="s">
        <v>137</v>
      </c>
      <c r="AO1897" s="191">
        <v>12</v>
      </c>
    </row>
    <row r="1898" spans="36:41" ht="13" x14ac:dyDescent="0.3">
      <c r="AJ1898" s="184" t="s">
        <v>2310</v>
      </c>
      <c r="AK1898" s="184" t="s">
        <v>1428</v>
      </c>
      <c r="AL1898" s="33" t="s">
        <v>1431</v>
      </c>
      <c r="AM1898" s="192" t="s">
        <v>2368</v>
      </c>
      <c r="AN1898" s="190" t="s">
        <v>1538</v>
      </c>
      <c r="AO1898" s="191">
        <v>12</v>
      </c>
    </row>
    <row r="1899" spans="36:41" ht="13" x14ac:dyDescent="0.3">
      <c r="AJ1899" s="184" t="s">
        <v>2311</v>
      </c>
      <c r="AK1899" s="184" t="s">
        <v>1428</v>
      </c>
      <c r="AL1899" s="33" t="s">
        <v>1431</v>
      </c>
      <c r="AM1899" s="192" t="s">
        <v>1498</v>
      </c>
      <c r="AN1899" s="190" t="s">
        <v>1538</v>
      </c>
      <c r="AO1899" s="191">
        <v>12</v>
      </c>
    </row>
    <row r="1900" spans="36:41" ht="13" x14ac:dyDescent="0.3">
      <c r="AJ1900" s="184" t="s">
        <v>2312</v>
      </c>
      <c r="AK1900" s="184" t="s">
        <v>1428</v>
      </c>
      <c r="AL1900" s="33" t="s">
        <v>1431</v>
      </c>
      <c r="AM1900" s="192" t="s">
        <v>1489</v>
      </c>
      <c r="AN1900" s="190" t="s">
        <v>1538</v>
      </c>
      <c r="AO1900" s="191">
        <v>12</v>
      </c>
    </row>
    <row r="1901" spans="36:41" ht="13" x14ac:dyDescent="0.3">
      <c r="AJ1901" s="184" t="s">
        <v>2313</v>
      </c>
      <c r="AK1901" s="184" t="s">
        <v>1428</v>
      </c>
      <c r="AL1901" s="33" t="s">
        <v>1431</v>
      </c>
      <c r="AM1901" s="192" t="s">
        <v>1482</v>
      </c>
      <c r="AN1901" s="190" t="s">
        <v>1538</v>
      </c>
      <c r="AO1901" s="191">
        <v>12</v>
      </c>
    </row>
    <row r="1902" spans="36:41" ht="13" x14ac:dyDescent="0.3">
      <c r="AJ1902" s="184" t="s">
        <v>2314</v>
      </c>
      <c r="AK1902" s="184" t="s">
        <v>1428</v>
      </c>
      <c r="AL1902" s="33" t="s">
        <v>1431</v>
      </c>
      <c r="AM1902" s="192" t="s">
        <v>1482</v>
      </c>
      <c r="AN1902" s="190" t="s">
        <v>1538</v>
      </c>
      <c r="AO1902" s="191">
        <v>12</v>
      </c>
    </row>
    <row r="1903" spans="36:41" ht="13" x14ac:dyDescent="0.3">
      <c r="AJ1903" s="184" t="s">
        <v>2315</v>
      </c>
      <c r="AK1903" s="184" t="s">
        <v>1428</v>
      </c>
      <c r="AL1903" s="33" t="s">
        <v>1431</v>
      </c>
      <c r="AM1903" s="192" t="s">
        <v>1483</v>
      </c>
      <c r="AN1903" s="190" t="s">
        <v>1538</v>
      </c>
      <c r="AO1903" s="191">
        <v>12</v>
      </c>
    </row>
    <row r="1904" spans="36:41" ht="13" x14ac:dyDescent="0.3">
      <c r="AJ1904" s="184" t="s">
        <v>2316</v>
      </c>
      <c r="AK1904" s="184" t="s">
        <v>1428</v>
      </c>
      <c r="AL1904" s="33" t="s">
        <v>1431</v>
      </c>
      <c r="AM1904" s="192" t="s">
        <v>1474</v>
      </c>
      <c r="AN1904" s="190" t="s">
        <v>1538</v>
      </c>
      <c r="AO1904" s="191">
        <v>12</v>
      </c>
    </row>
    <row r="1905" spans="36:41" ht="13" x14ac:dyDescent="0.3">
      <c r="AJ1905" s="184" t="s">
        <v>2317</v>
      </c>
      <c r="AK1905" s="184" t="s">
        <v>1428</v>
      </c>
      <c r="AL1905" s="33" t="s">
        <v>1431</v>
      </c>
      <c r="AM1905" s="192" t="s">
        <v>1491</v>
      </c>
      <c r="AN1905" s="190" t="s">
        <v>1538</v>
      </c>
      <c r="AO1905" s="191">
        <v>12</v>
      </c>
    </row>
    <row r="1906" spans="36:41" ht="13" x14ac:dyDescent="0.3">
      <c r="AJ1906" s="184" t="s">
        <v>2318</v>
      </c>
      <c r="AK1906" s="184" t="s">
        <v>1428</v>
      </c>
      <c r="AL1906" s="33" t="s">
        <v>1431</v>
      </c>
      <c r="AM1906" s="192" t="s">
        <v>1478</v>
      </c>
      <c r="AN1906" s="190" t="s">
        <v>1538</v>
      </c>
      <c r="AO1906" s="191">
        <v>12</v>
      </c>
    </row>
    <row r="1907" spans="36:41" ht="13" x14ac:dyDescent="0.3">
      <c r="AJ1907" s="184" t="s">
        <v>2319</v>
      </c>
      <c r="AK1907" s="184" t="s">
        <v>1428</v>
      </c>
      <c r="AL1907" s="33" t="s">
        <v>1431</v>
      </c>
      <c r="AM1907" s="192" t="s">
        <v>1479</v>
      </c>
      <c r="AN1907" s="190" t="s">
        <v>1538</v>
      </c>
      <c r="AO1907" s="191">
        <v>12</v>
      </c>
    </row>
    <row r="1908" spans="36:41" ht="13" x14ac:dyDescent="0.3">
      <c r="AJ1908" s="184" t="s">
        <v>2320</v>
      </c>
      <c r="AK1908" s="184" t="s">
        <v>1428</v>
      </c>
      <c r="AL1908" s="33" t="s">
        <v>1431</v>
      </c>
      <c r="AM1908" s="192" t="s">
        <v>1478</v>
      </c>
      <c r="AN1908" s="190" t="s">
        <v>1538</v>
      </c>
      <c r="AO1908" s="191">
        <v>12</v>
      </c>
    </row>
    <row r="1909" spans="36:41" ht="13" x14ac:dyDescent="0.3">
      <c r="AJ1909" s="184" t="s">
        <v>2321</v>
      </c>
      <c r="AK1909" s="184" t="s">
        <v>1428</v>
      </c>
      <c r="AL1909" s="33" t="s">
        <v>1431</v>
      </c>
      <c r="AM1909" s="192" t="s">
        <v>1491</v>
      </c>
      <c r="AN1909" s="190" t="s">
        <v>1538</v>
      </c>
      <c r="AO1909" s="191">
        <v>12</v>
      </c>
    </row>
    <row r="1910" spans="36:41" ht="13" x14ac:dyDescent="0.3">
      <c r="AJ1910" s="184" t="s">
        <v>2322</v>
      </c>
      <c r="AK1910" s="184" t="s">
        <v>1428</v>
      </c>
      <c r="AL1910" s="33" t="s">
        <v>1431</v>
      </c>
      <c r="AM1910" s="192" t="s">
        <v>1479</v>
      </c>
      <c r="AN1910" s="190" t="s">
        <v>1538</v>
      </c>
      <c r="AO1910" s="191">
        <v>12</v>
      </c>
    </row>
    <row r="1911" spans="36:41" ht="13" x14ac:dyDescent="0.3">
      <c r="AJ1911" s="184" t="s">
        <v>2323</v>
      </c>
      <c r="AK1911" s="184" t="s">
        <v>1428</v>
      </c>
      <c r="AL1911" s="33" t="s">
        <v>1431</v>
      </c>
      <c r="AM1911" s="192" t="s">
        <v>1491</v>
      </c>
      <c r="AN1911" s="190" t="s">
        <v>1538</v>
      </c>
      <c r="AO1911" s="191">
        <v>12</v>
      </c>
    </row>
    <row r="1912" spans="36:41" ht="13" x14ac:dyDescent="0.3">
      <c r="AJ1912" s="184" t="s">
        <v>2324</v>
      </c>
      <c r="AK1912" s="184" t="s">
        <v>1428</v>
      </c>
      <c r="AL1912" s="33" t="s">
        <v>1431</v>
      </c>
      <c r="AM1912" s="192" t="s">
        <v>1482</v>
      </c>
      <c r="AN1912" s="190" t="s">
        <v>1538</v>
      </c>
      <c r="AO1912" s="191">
        <v>12</v>
      </c>
    </row>
    <row r="1913" spans="36:41" ht="13" x14ac:dyDescent="0.3">
      <c r="AJ1913" s="184" t="s">
        <v>2325</v>
      </c>
      <c r="AK1913" s="184" t="s">
        <v>1428</v>
      </c>
      <c r="AL1913" s="33" t="s">
        <v>1431</v>
      </c>
      <c r="AM1913" s="192" t="s">
        <v>1475</v>
      </c>
      <c r="AN1913" s="190" t="s">
        <v>1538</v>
      </c>
      <c r="AO1913" s="191">
        <v>12</v>
      </c>
    </row>
    <row r="1914" spans="36:41" x14ac:dyDescent="0.25">
      <c r="AJ1914" s="184" t="s">
        <v>2369</v>
      </c>
      <c r="AK1914" s="184" t="s">
        <v>100</v>
      </c>
      <c r="AL1914" s="33" t="s">
        <v>1431</v>
      </c>
      <c r="AM1914" s="184" t="s">
        <v>2379</v>
      </c>
      <c r="AN1914" s="184" t="s">
        <v>1539</v>
      </c>
      <c r="AO1914" s="193">
        <v>12</v>
      </c>
    </row>
    <row r="1915" spans="36:41" x14ac:dyDescent="0.25">
      <c r="AJ1915" s="184" t="s">
        <v>2370</v>
      </c>
      <c r="AK1915" s="184" t="s">
        <v>100</v>
      </c>
      <c r="AL1915" s="33" t="s">
        <v>1431</v>
      </c>
      <c r="AM1915" s="184" t="s">
        <v>2379</v>
      </c>
      <c r="AN1915" s="184" t="s">
        <v>1539</v>
      </c>
      <c r="AO1915" s="193">
        <v>12</v>
      </c>
    </row>
    <row r="1916" spans="36:41" x14ac:dyDescent="0.25">
      <c r="AJ1916" s="184" t="s">
        <v>2371</v>
      </c>
      <c r="AK1916" s="184" t="s">
        <v>100</v>
      </c>
      <c r="AL1916" s="33" t="s">
        <v>1431</v>
      </c>
      <c r="AM1916" s="184" t="s">
        <v>2379</v>
      </c>
      <c r="AN1916" s="184" t="s">
        <v>1539</v>
      </c>
      <c r="AO1916" s="193">
        <v>12</v>
      </c>
    </row>
    <row r="1917" spans="36:41" x14ac:dyDescent="0.25">
      <c r="AJ1917" s="184" t="s">
        <v>2372</v>
      </c>
      <c r="AK1917" s="184" t="s">
        <v>100</v>
      </c>
      <c r="AL1917" s="33" t="s">
        <v>1431</v>
      </c>
      <c r="AM1917" s="184" t="s">
        <v>2379</v>
      </c>
      <c r="AN1917" s="184" t="s">
        <v>1539</v>
      </c>
      <c r="AO1917" s="193">
        <v>12</v>
      </c>
    </row>
    <row r="1918" spans="36:41" x14ac:dyDescent="0.25">
      <c r="AJ1918" s="184" t="s">
        <v>2373</v>
      </c>
      <c r="AK1918" s="184" t="s">
        <v>100</v>
      </c>
      <c r="AL1918" s="33" t="s">
        <v>1431</v>
      </c>
      <c r="AM1918" s="184" t="s">
        <v>2379</v>
      </c>
      <c r="AN1918" s="184" t="s">
        <v>1539</v>
      </c>
      <c r="AO1918" s="193">
        <v>12</v>
      </c>
    </row>
    <row r="1919" spans="36:41" x14ac:dyDescent="0.25">
      <c r="AJ1919" s="184" t="s">
        <v>2374</v>
      </c>
      <c r="AK1919" s="184" t="s">
        <v>100</v>
      </c>
      <c r="AL1919" s="33" t="s">
        <v>1431</v>
      </c>
      <c r="AM1919" s="184" t="s">
        <v>2379</v>
      </c>
      <c r="AN1919" s="184" t="s">
        <v>1539</v>
      </c>
      <c r="AO1919" s="193">
        <v>12</v>
      </c>
    </row>
    <row r="1920" spans="36:41" x14ac:dyDescent="0.25">
      <c r="AJ1920" s="184" t="s">
        <v>2375</v>
      </c>
      <c r="AK1920" s="184" t="s">
        <v>100</v>
      </c>
      <c r="AL1920" s="33" t="s">
        <v>1431</v>
      </c>
      <c r="AM1920" s="184" t="s">
        <v>2379</v>
      </c>
      <c r="AN1920" s="184" t="s">
        <v>1539</v>
      </c>
      <c r="AO1920" s="193">
        <v>12</v>
      </c>
    </row>
    <row r="1921" spans="36:41" x14ac:dyDescent="0.25">
      <c r="AJ1921" s="184" t="s">
        <v>2376</v>
      </c>
      <c r="AK1921" s="184" t="s">
        <v>100</v>
      </c>
      <c r="AL1921" s="33" t="s">
        <v>1431</v>
      </c>
      <c r="AM1921" s="184" t="s">
        <v>2379</v>
      </c>
      <c r="AN1921" s="184" t="s">
        <v>1539</v>
      </c>
      <c r="AO1921" s="193">
        <v>12</v>
      </c>
    </row>
    <row r="1922" spans="36:41" x14ac:dyDescent="0.25">
      <c r="AJ1922" s="184" t="s">
        <v>2377</v>
      </c>
      <c r="AK1922" s="184" t="s">
        <v>100</v>
      </c>
      <c r="AL1922" s="33" t="s">
        <v>1431</v>
      </c>
      <c r="AM1922" s="184" t="s">
        <v>2379</v>
      </c>
      <c r="AN1922" s="184" t="s">
        <v>1539</v>
      </c>
      <c r="AO1922" s="193">
        <v>12</v>
      </c>
    </row>
    <row r="1923" spans="36:41" x14ac:dyDescent="0.25">
      <c r="AJ1923" s="184" t="s">
        <v>2378</v>
      </c>
      <c r="AK1923" s="184" t="s">
        <v>100</v>
      </c>
      <c r="AL1923" s="33" t="s">
        <v>1431</v>
      </c>
      <c r="AM1923" s="184" t="s">
        <v>2379</v>
      </c>
      <c r="AN1923" s="184" t="s">
        <v>1539</v>
      </c>
      <c r="AO1923" s="193">
        <v>12</v>
      </c>
    </row>
    <row r="1924" spans="36:41" x14ac:dyDescent="0.25">
      <c r="AJ1924" s="184"/>
      <c r="AK1924" s="184"/>
      <c r="AL1924" s="184"/>
      <c r="AM1924" s="184"/>
      <c r="AN1924" s="184"/>
      <c r="AO1924" s="184"/>
    </row>
    <row r="1925" spans="36:41" x14ac:dyDescent="0.25">
      <c r="AJ1925" s="184"/>
      <c r="AK1925" s="184"/>
      <c r="AL1925" s="184"/>
      <c r="AM1925" s="184"/>
      <c r="AN1925" s="184"/>
      <c r="AO1925" s="184"/>
    </row>
    <row r="1926" spans="36:41" x14ac:dyDescent="0.25">
      <c r="AJ1926" s="184"/>
      <c r="AK1926" s="184"/>
      <c r="AL1926" s="184"/>
      <c r="AM1926" s="184"/>
      <c r="AN1926" s="184"/>
      <c r="AO1926" s="184"/>
    </row>
    <row r="1927" spans="36:41" x14ac:dyDescent="0.25">
      <c r="AJ1927" s="184"/>
      <c r="AK1927" s="184"/>
      <c r="AL1927" s="184"/>
      <c r="AM1927" s="184"/>
      <c r="AN1927" s="184"/>
      <c r="AO1927" s="184"/>
    </row>
    <row r="1928" spans="36:41" x14ac:dyDescent="0.25">
      <c r="AJ1928" s="184"/>
      <c r="AK1928" s="184"/>
      <c r="AL1928" s="184"/>
      <c r="AM1928" s="184"/>
      <c r="AN1928" s="184"/>
      <c r="AO1928" s="184"/>
    </row>
    <row r="1929" spans="36:41" x14ac:dyDescent="0.25">
      <c r="AJ1929" s="184"/>
      <c r="AK1929" s="184"/>
      <c r="AL1929" s="184"/>
      <c r="AM1929" s="184"/>
      <c r="AN1929" s="184"/>
      <c r="AO1929" s="184"/>
    </row>
    <row r="1930" spans="36:41" x14ac:dyDescent="0.25">
      <c r="AJ1930" s="184"/>
      <c r="AK1930" s="184"/>
      <c r="AL1930" s="184"/>
      <c r="AM1930" s="184"/>
      <c r="AN1930" s="184"/>
      <c r="AO1930" s="184"/>
    </row>
    <row r="1931" spans="36:41" x14ac:dyDescent="0.25">
      <c r="AJ1931" s="184"/>
      <c r="AK1931" s="184"/>
      <c r="AL1931" s="184"/>
      <c r="AM1931" s="184"/>
      <c r="AN1931" s="184"/>
      <c r="AO1931" s="184"/>
    </row>
    <row r="1932" spans="36:41" x14ac:dyDescent="0.25">
      <c r="AJ1932" s="184"/>
      <c r="AK1932" s="184"/>
      <c r="AL1932" s="184"/>
      <c r="AM1932" s="184"/>
      <c r="AN1932" s="184"/>
      <c r="AO1932" s="184"/>
    </row>
    <row r="1933" spans="36:41" x14ac:dyDescent="0.25">
      <c r="AJ1933" s="184"/>
      <c r="AK1933" s="184"/>
      <c r="AL1933" s="184"/>
      <c r="AM1933" s="184"/>
      <c r="AN1933" s="184"/>
      <c r="AO1933" s="184"/>
    </row>
    <row r="1934" spans="36:41" x14ac:dyDescent="0.25">
      <c r="AJ1934" s="184"/>
      <c r="AK1934" s="184"/>
      <c r="AL1934" s="184"/>
      <c r="AM1934" s="184"/>
      <c r="AN1934" s="184"/>
      <c r="AO1934" s="184"/>
    </row>
    <row r="1935" spans="36:41" x14ac:dyDescent="0.25">
      <c r="AJ1935" s="184"/>
      <c r="AK1935" s="184"/>
      <c r="AL1935" s="184"/>
      <c r="AM1935" s="184"/>
      <c r="AN1935" s="184"/>
      <c r="AO1935" s="184"/>
    </row>
    <row r="1936" spans="36:41" x14ac:dyDescent="0.25">
      <c r="AJ1936" s="184"/>
      <c r="AK1936" s="184"/>
      <c r="AL1936" s="184"/>
      <c r="AM1936" s="184"/>
      <c r="AN1936" s="184"/>
      <c r="AO1936" s="184"/>
    </row>
    <row r="1937" spans="36:41" x14ac:dyDescent="0.25">
      <c r="AJ1937" s="184"/>
      <c r="AK1937" s="184"/>
      <c r="AL1937" s="184"/>
      <c r="AM1937" s="184"/>
      <c r="AN1937" s="184"/>
      <c r="AO1937" s="184"/>
    </row>
    <row r="1938" spans="36:41" x14ac:dyDescent="0.25">
      <c r="AJ1938" s="184"/>
      <c r="AK1938" s="184"/>
      <c r="AL1938" s="184"/>
      <c r="AM1938" s="184"/>
      <c r="AN1938" s="184"/>
      <c r="AO1938" s="184"/>
    </row>
    <row r="1939" spans="36:41" x14ac:dyDescent="0.25">
      <c r="AJ1939" s="184"/>
      <c r="AK1939" s="184"/>
      <c r="AL1939" s="184"/>
      <c r="AM1939" s="184"/>
      <c r="AN1939" s="184"/>
      <c r="AO1939" s="184"/>
    </row>
    <row r="1940" spans="36:41" x14ac:dyDescent="0.25">
      <c r="AJ1940" s="184"/>
      <c r="AK1940" s="184"/>
      <c r="AL1940" s="184"/>
      <c r="AM1940" s="184"/>
      <c r="AN1940" s="184"/>
      <c r="AO1940" s="184"/>
    </row>
    <row r="1941" spans="36:41" x14ac:dyDescent="0.25">
      <c r="AJ1941" s="184"/>
      <c r="AK1941" s="184"/>
      <c r="AL1941" s="184"/>
      <c r="AM1941" s="184"/>
      <c r="AN1941" s="184"/>
      <c r="AO1941" s="184"/>
    </row>
    <row r="1942" spans="36:41" x14ac:dyDescent="0.25">
      <c r="AJ1942" s="184"/>
      <c r="AK1942" s="184"/>
      <c r="AL1942" s="184"/>
      <c r="AM1942" s="184"/>
      <c r="AN1942" s="184"/>
      <c r="AO1942" s="184"/>
    </row>
    <row r="1943" spans="36:41" x14ac:dyDescent="0.25">
      <c r="AJ1943" s="184"/>
      <c r="AK1943" s="184"/>
      <c r="AL1943" s="184"/>
      <c r="AM1943" s="184"/>
      <c r="AN1943" s="184"/>
      <c r="AO1943" s="184"/>
    </row>
    <row r="1944" spans="36:41" x14ac:dyDescent="0.25">
      <c r="AJ1944" s="184"/>
      <c r="AK1944" s="184"/>
      <c r="AL1944" s="184"/>
      <c r="AM1944" s="184"/>
      <c r="AN1944" s="184"/>
      <c r="AO1944" s="184"/>
    </row>
    <row r="1945" spans="36:41" x14ac:dyDescent="0.25">
      <c r="AJ1945" s="184"/>
      <c r="AK1945" s="184"/>
      <c r="AL1945" s="184"/>
      <c r="AM1945" s="184"/>
      <c r="AN1945" s="184"/>
      <c r="AO1945" s="184"/>
    </row>
    <row r="1946" spans="36:41" x14ac:dyDescent="0.25">
      <c r="AJ1946" s="184"/>
      <c r="AK1946" s="184"/>
      <c r="AL1946" s="184"/>
      <c r="AM1946" s="184"/>
      <c r="AN1946" s="184"/>
      <c r="AO1946" s="184"/>
    </row>
    <row r="1947" spans="36:41" x14ac:dyDescent="0.25">
      <c r="AJ1947" s="184"/>
      <c r="AK1947" s="184"/>
      <c r="AL1947" s="184"/>
      <c r="AM1947" s="184"/>
      <c r="AN1947" s="184"/>
      <c r="AO1947" s="184"/>
    </row>
    <row r="1948" spans="36:41" x14ac:dyDescent="0.25">
      <c r="AJ1948" s="184"/>
      <c r="AK1948" s="184"/>
      <c r="AL1948" s="184"/>
      <c r="AM1948" s="184"/>
      <c r="AN1948" s="184"/>
      <c r="AO1948" s="184"/>
    </row>
    <row r="1949" spans="36:41" x14ac:dyDescent="0.25">
      <c r="AJ1949" s="184"/>
      <c r="AK1949" s="184"/>
      <c r="AL1949" s="184"/>
      <c r="AM1949" s="184"/>
      <c r="AN1949" s="184"/>
      <c r="AO1949" s="184"/>
    </row>
    <row r="1950" spans="36:41" x14ac:dyDescent="0.25">
      <c r="AJ1950" s="184"/>
      <c r="AK1950" s="184"/>
      <c r="AL1950" s="184"/>
      <c r="AM1950" s="184"/>
      <c r="AN1950" s="184"/>
      <c r="AO1950" s="184"/>
    </row>
    <row r="1951" spans="36:41" x14ac:dyDescent="0.25">
      <c r="AJ1951" s="184"/>
      <c r="AK1951" s="184"/>
      <c r="AL1951" s="184"/>
      <c r="AM1951" s="184"/>
      <c r="AN1951" s="184"/>
      <c r="AO1951" s="184"/>
    </row>
    <row r="1952" spans="36:41" x14ac:dyDescent="0.25">
      <c r="AJ1952" s="184"/>
      <c r="AK1952" s="184"/>
      <c r="AL1952" s="184"/>
      <c r="AM1952" s="184"/>
      <c r="AN1952" s="184"/>
      <c r="AO1952" s="184"/>
    </row>
    <row r="1953" spans="36:41" x14ac:dyDescent="0.25">
      <c r="AJ1953" s="184"/>
      <c r="AK1953" s="184"/>
      <c r="AL1953" s="184"/>
      <c r="AM1953" s="184"/>
      <c r="AN1953" s="184"/>
      <c r="AO1953" s="184"/>
    </row>
    <row r="1954" spans="36:41" x14ac:dyDescent="0.25">
      <c r="AJ1954" s="184"/>
      <c r="AK1954" s="184"/>
      <c r="AL1954" s="184"/>
      <c r="AM1954" s="184"/>
      <c r="AN1954" s="184"/>
      <c r="AO1954" s="184"/>
    </row>
    <row r="1955" spans="36:41" x14ac:dyDescent="0.25">
      <c r="AJ1955" s="184"/>
      <c r="AK1955" s="184"/>
      <c r="AL1955" s="184"/>
      <c r="AM1955" s="184"/>
      <c r="AN1955" s="184"/>
      <c r="AO1955" s="184"/>
    </row>
    <row r="1956" spans="36:41" x14ac:dyDescent="0.25">
      <c r="AJ1956" s="184"/>
      <c r="AK1956" s="184"/>
      <c r="AL1956" s="184"/>
      <c r="AM1956" s="184"/>
      <c r="AN1956" s="184"/>
      <c r="AO1956" s="184"/>
    </row>
    <row r="1957" spans="36:41" x14ac:dyDescent="0.25">
      <c r="AJ1957" s="184"/>
      <c r="AK1957" s="184"/>
      <c r="AL1957" s="184"/>
      <c r="AM1957" s="184"/>
      <c r="AN1957" s="184"/>
      <c r="AO1957" s="184"/>
    </row>
    <row r="1958" spans="36:41" x14ac:dyDescent="0.25">
      <c r="AJ1958" s="184"/>
      <c r="AK1958" s="184"/>
      <c r="AL1958" s="184"/>
      <c r="AM1958" s="184"/>
      <c r="AN1958" s="184"/>
      <c r="AO1958" s="184"/>
    </row>
    <row r="1959" spans="36:41" x14ac:dyDescent="0.25">
      <c r="AJ1959" s="184"/>
      <c r="AK1959" s="184"/>
      <c r="AL1959" s="184"/>
      <c r="AM1959" s="184"/>
      <c r="AN1959" s="184"/>
      <c r="AO1959" s="184"/>
    </row>
    <row r="1960" spans="36:41" x14ac:dyDescent="0.25">
      <c r="AJ1960" s="184"/>
      <c r="AK1960" s="184"/>
      <c r="AL1960" s="184"/>
      <c r="AM1960" s="184"/>
      <c r="AN1960" s="184"/>
      <c r="AO1960" s="184"/>
    </row>
    <row r="1961" spans="36:41" x14ac:dyDescent="0.25">
      <c r="AJ1961" s="184"/>
      <c r="AK1961" s="184"/>
      <c r="AL1961" s="184"/>
      <c r="AM1961" s="184"/>
      <c r="AN1961" s="184"/>
      <c r="AO1961" s="184"/>
    </row>
    <row r="1962" spans="36:41" x14ac:dyDescent="0.25">
      <c r="AJ1962" s="184"/>
      <c r="AK1962" s="184"/>
      <c r="AL1962" s="184"/>
      <c r="AM1962" s="184"/>
      <c r="AN1962" s="184"/>
      <c r="AO1962" s="184"/>
    </row>
    <row r="1963" spans="36:41" x14ac:dyDescent="0.25">
      <c r="AJ1963" s="184"/>
      <c r="AK1963" s="184"/>
      <c r="AL1963" s="184"/>
      <c r="AM1963" s="184"/>
      <c r="AN1963" s="184"/>
      <c r="AO1963" s="184"/>
    </row>
    <row r="1964" spans="36:41" x14ac:dyDescent="0.25">
      <c r="AJ1964" s="184"/>
      <c r="AK1964" s="184"/>
      <c r="AL1964" s="184"/>
      <c r="AM1964" s="184"/>
      <c r="AN1964" s="184"/>
      <c r="AO1964" s="184"/>
    </row>
    <row r="1965" spans="36:41" x14ac:dyDescent="0.25">
      <c r="AJ1965" s="184"/>
      <c r="AK1965" s="184"/>
      <c r="AL1965" s="184"/>
      <c r="AM1965" s="184"/>
      <c r="AN1965" s="184"/>
      <c r="AO1965" s="184"/>
    </row>
    <row r="1966" spans="36:41" x14ac:dyDescent="0.25">
      <c r="AJ1966" s="184"/>
      <c r="AK1966" s="184"/>
      <c r="AL1966" s="184"/>
      <c r="AM1966" s="184"/>
      <c r="AN1966" s="184"/>
      <c r="AO1966" s="184"/>
    </row>
    <row r="1967" spans="36:41" x14ac:dyDescent="0.25">
      <c r="AJ1967" s="184"/>
      <c r="AK1967" s="184"/>
      <c r="AL1967" s="184"/>
      <c r="AM1967" s="184"/>
      <c r="AN1967" s="184"/>
      <c r="AO1967" s="184"/>
    </row>
    <row r="1968" spans="36:41" x14ac:dyDescent="0.25">
      <c r="AJ1968" s="184"/>
      <c r="AK1968" s="184"/>
      <c r="AL1968" s="184"/>
      <c r="AM1968" s="184"/>
      <c r="AN1968" s="184"/>
      <c r="AO1968" s="184"/>
    </row>
    <row r="1969" spans="36:41" x14ac:dyDescent="0.25">
      <c r="AJ1969" s="184"/>
      <c r="AK1969" s="184"/>
      <c r="AL1969" s="184"/>
      <c r="AM1969" s="184"/>
      <c r="AN1969" s="184"/>
      <c r="AO1969" s="184"/>
    </row>
    <row r="1970" spans="36:41" x14ac:dyDescent="0.25">
      <c r="AJ1970" s="184"/>
      <c r="AK1970" s="184"/>
      <c r="AL1970" s="184"/>
      <c r="AM1970" s="184"/>
      <c r="AN1970" s="184"/>
      <c r="AO1970" s="184"/>
    </row>
    <row r="1971" spans="36:41" x14ac:dyDescent="0.25">
      <c r="AJ1971" s="184"/>
      <c r="AK1971" s="184"/>
      <c r="AL1971" s="184"/>
      <c r="AM1971" s="184"/>
      <c r="AN1971" s="184"/>
      <c r="AO1971" s="184"/>
    </row>
    <row r="1972" spans="36:41" x14ac:dyDescent="0.25">
      <c r="AJ1972" s="184"/>
      <c r="AK1972" s="184"/>
      <c r="AL1972" s="184"/>
      <c r="AM1972" s="184"/>
      <c r="AN1972" s="184"/>
      <c r="AO1972" s="184"/>
    </row>
    <row r="1973" spans="36:41" x14ac:dyDescent="0.25">
      <c r="AJ1973" s="184"/>
      <c r="AK1973" s="184"/>
      <c r="AL1973" s="184"/>
      <c r="AM1973" s="184"/>
      <c r="AN1973" s="184"/>
      <c r="AO1973" s="184"/>
    </row>
    <row r="1974" spans="36:41" x14ac:dyDescent="0.25">
      <c r="AJ1974" s="184"/>
      <c r="AK1974" s="184"/>
      <c r="AL1974" s="184"/>
      <c r="AM1974" s="184"/>
      <c r="AN1974" s="184"/>
      <c r="AO1974" s="184"/>
    </row>
    <row r="1975" spans="36:41" x14ac:dyDescent="0.25">
      <c r="AJ1975" s="184"/>
      <c r="AK1975" s="184"/>
      <c r="AL1975" s="184"/>
      <c r="AM1975" s="184"/>
      <c r="AN1975" s="184"/>
      <c r="AO1975" s="184"/>
    </row>
    <row r="1976" spans="36:41" x14ac:dyDescent="0.25">
      <c r="AJ1976" s="184"/>
      <c r="AK1976" s="184"/>
      <c r="AL1976" s="184"/>
      <c r="AM1976" s="184"/>
      <c r="AN1976" s="184"/>
      <c r="AO1976" s="184"/>
    </row>
    <row r="1977" spans="36:41" x14ac:dyDescent="0.25">
      <c r="AJ1977" s="184"/>
      <c r="AK1977" s="184"/>
      <c r="AL1977" s="184"/>
      <c r="AM1977" s="184"/>
      <c r="AN1977" s="184"/>
      <c r="AO1977" s="184"/>
    </row>
    <row r="1978" spans="36:41" x14ac:dyDescent="0.25">
      <c r="AJ1978" s="184"/>
      <c r="AK1978" s="184"/>
      <c r="AL1978" s="184"/>
      <c r="AM1978" s="184"/>
      <c r="AN1978" s="184"/>
      <c r="AO1978" s="184"/>
    </row>
    <row r="1979" spans="36:41" x14ac:dyDescent="0.25">
      <c r="AJ1979" s="184"/>
      <c r="AK1979" s="184"/>
      <c r="AL1979" s="184"/>
      <c r="AM1979" s="184"/>
      <c r="AN1979" s="184"/>
      <c r="AO1979" s="184"/>
    </row>
    <row r="1980" spans="36:41" x14ac:dyDescent="0.25">
      <c r="AJ1980" s="184"/>
      <c r="AK1980" s="184"/>
      <c r="AL1980" s="184"/>
      <c r="AM1980" s="184"/>
      <c r="AN1980" s="184"/>
      <c r="AO1980" s="184"/>
    </row>
    <row r="1981" spans="36:41" x14ac:dyDescent="0.25">
      <c r="AJ1981" s="184"/>
      <c r="AK1981" s="184"/>
      <c r="AL1981" s="184"/>
      <c r="AM1981" s="184"/>
      <c r="AN1981" s="184"/>
      <c r="AO1981" s="184"/>
    </row>
    <row r="1982" spans="36:41" x14ac:dyDescent="0.25">
      <c r="AJ1982" s="184"/>
      <c r="AK1982" s="184"/>
      <c r="AL1982" s="184"/>
      <c r="AM1982" s="184"/>
      <c r="AN1982" s="184"/>
      <c r="AO1982" s="184"/>
    </row>
    <row r="1983" spans="36:41" x14ac:dyDescent="0.25">
      <c r="AJ1983" s="184"/>
      <c r="AK1983" s="184"/>
      <c r="AL1983" s="184"/>
      <c r="AM1983" s="184"/>
      <c r="AN1983" s="184"/>
      <c r="AO1983" s="184"/>
    </row>
    <row r="1984" spans="36:41" x14ac:dyDescent="0.25">
      <c r="AJ1984" s="184"/>
      <c r="AK1984" s="184"/>
      <c r="AL1984" s="184"/>
      <c r="AM1984" s="184"/>
      <c r="AN1984" s="184"/>
      <c r="AO1984" s="184"/>
    </row>
    <row r="1985" spans="36:41" x14ac:dyDescent="0.25">
      <c r="AJ1985" s="184"/>
      <c r="AK1985" s="184"/>
      <c r="AL1985" s="184"/>
      <c r="AM1985" s="184"/>
      <c r="AN1985" s="184"/>
      <c r="AO1985" s="184"/>
    </row>
    <row r="1986" spans="36:41" x14ac:dyDescent="0.25">
      <c r="AJ1986" s="184"/>
      <c r="AK1986" s="184"/>
      <c r="AL1986" s="184"/>
      <c r="AM1986" s="184"/>
      <c r="AN1986" s="184"/>
      <c r="AO1986" s="184"/>
    </row>
    <row r="1987" spans="36:41" x14ac:dyDescent="0.25">
      <c r="AJ1987" s="184"/>
      <c r="AK1987" s="184"/>
      <c r="AL1987" s="184"/>
      <c r="AM1987" s="184"/>
      <c r="AN1987" s="184"/>
      <c r="AO1987" s="184"/>
    </row>
    <row r="1988" spans="36:41" x14ac:dyDescent="0.25">
      <c r="AJ1988" s="184"/>
      <c r="AK1988" s="184"/>
      <c r="AL1988" s="184"/>
      <c r="AM1988" s="184"/>
      <c r="AN1988" s="184"/>
      <c r="AO1988" s="184"/>
    </row>
    <row r="1989" spans="36:41" x14ac:dyDescent="0.25">
      <c r="AJ1989" s="184"/>
      <c r="AK1989" s="184"/>
      <c r="AL1989" s="184"/>
      <c r="AM1989" s="184"/>
      <c r="AN1989" s="184"/>
      <c r="AO1989" s="184"/>
    </row>
    <row r="1990" spans="36:41" x14ac:dyDescent="0.25">
      <c r="AJ1990" s="184"/>
      <c r="AK1990" s="184"/>
      <c r="AL1990" s="184"/>
      <c r="AM1990" s="184"/>
      <c r="AN1990" s="184"/>
      <c r="AO1990" s="184"/>
    </row>
    <row r="1991" spans="36:41" x14ac:dyDescent="0.25">
      <c r="AJ1991" s="184"/>
      <c r="AK1991" s="184"/>
      <c r="AL1991" s="184"/>
      <c r="AM1991" s="184"/>
      <c r="AN1991" s="184"/>
      <c r="AO1991" s="184"/>
    </row>
    <row r="1992" spans="36:41" x14ac:dyDescent="0.25">
      <c r="AJ1992" s="184"/>
      <c r="AK1992" s="184"/>
      <c r="AL1992" s="184"/>
      <c r="AM1992" s="184"/>
      <c r="AN1992" s="184"/>
      <c r="AO1992" s="184"/>
    </row>
    <row r="1993" spans="36:41" x14ac:dyDescent="0.25">
      <c r="AJ1993" s="184"/>
      <c r="AK1993" s="184"/>
      <c r="AL1993" s="184"/>
      <c r="AM1993" s="184"/>
      <c r="AN1993" s="184"/>
      <c r="AO1993" s="184"/>
    </row>
    <row r="1994" spans="36:41" x14ac:dyDescent="0.25">
      <c r="AJ1994" s="184"/>
      <c r="AK1994" s="184"/>
      <c r="AL1994" s="184"/>
      <c r="AM1994" s="184"/>
      <c r="AN1994" s="184"/>
      <c r="AO1994" s="184"/>
    </row>
    <row r="1995" spans="36:41" x14ac:dyDescent="0.25">
      <c r="AJ1995" s="184"/>
      <c r="AK1995" s="184"/>
      <c r="AL1995" s="184"/>
      <c r="AM1995" s="184"/>
      <c r="AN1995" s="184"/>
      <c r="AO1995" s="184"/>
    </row>
    <row r="1996" spans="36:41" x14ac:dyDescent="0.25">
      <c r="AJ1996" s="184"/>
      <c r="AK1996" s="184"/>
      <c r="AL1996" s="184"/>
      <c r="AM1996" s="184"/>
      <c r="AN1996" s="184"/>
      <c r="AO1996" s="184"/>
    </row>
    <row r="1997" spans="36:41" x14ac:dyDescent="0.25">
      <c r="AJ1997" s="184"/>
      <c r="AK1997" s="184"/>
      <c r="AL1997" s="184"/>
      <c r="AM1997" s="184"/>
      <c r="AN1997" s="184"/>
      <c r="AO1997" s="184"/>
    </row>
    <row r="1998" spans="36:41" x14ac:dyDescent="0.25">
      <c r="AJ1998" s="184"/>
      <c r="AK1998" s="184"/>
      <c r="AL1998" s="184"/>
      <c r="AM1998" s="184"/>
      <c r="AN1998" s="184"/>
      <c r="AO1998" s="184"/>
    </row>
    <row r="1999" spans="36:41" x14ac:dyDescent="0.25">
      <c r="AJ1999" s="184"/>
      <c r="AK1999" s="184"/>
      <c r="AL1999" s="184"/>
      <c r="AM1999" s="184"/>
      <c r="AN1999" s="184"/>
      <c r="AO1999" s="184"/>
    </row>
    <row r="2000" spans="36:41" x14ac:dyDescent="0.25">
      <c r="AJ2000" s="184"/>
      <c r="AK2000" s="184"/>
      <c r="AL2000" s="184"/>
      <c r="AM2000" s="184"/>
      <c r="AN2000" s="184"/>
      <c r="AO2000" s="184"/>
    </row>
    <row r="2001" spans="36:41" x14ac:dyDescent="0.25">
      <c r="AJ2001" s="184"/>
      <c r="AK2001" s="184"/>
      <c r="AL2001" s="184"/>
      <c r="AM2001" s="184"/>
      <c r="AN2001" s="184"/>
      <c r="AO2001" s="184"/>
    </row>
    <row r="2002" spans="36:41" x14ac:dyDescent="0.25">
      <c r="AJ2002" s="184"/>
      <c r="AK2002" s="184"/>
      <c r="AL2002" s="184"/>
      <c r="AM2002" s="184"/>
      <c r="AN2002" s="184"/>
      <c r="AO2002" s="184"/>
    </row>
    <row r="2003" spans="36:41" x14ac:dyDescent="0.25">
      <c r="AJ2003" s="184"/>
      <c r="AK2003" s="184"/>
      <c r="AL2003" s="184"/>
      <c r="AM2003" s="184"/>
      <c r="AN2003" s="184"/>
      <c r="AO2003" s="184"/>
    </row>
    <row r="2004" spans="36:41" x14ac:dyDescent="0.25">
      <c r="AJ2004" s="184"/>
      <c r="AK2004" s="184"/>
      <c r="AL2004" s="184"/>
      <c r="AM2004" s="184"/>
      <c r="AN2004" s="184"/>
      <c r="AO2004" s="184"/>
    </row>
    <row r="2005" spans="36:41" x14ac:dyDescent="0.25">
      <c r="AJ2005" s="184"/>
      <c r="AK2005" s="184"/>
      <c r="AL2005" s="184"/>
      <c r="AM2005" s="184"/>
      <c r="AN2005" s="184"/>
      <c r="AO2005" s="184"/>
    </row>
    <row r="2006" spans="36:41" x14ac:dyDescent="0.25">
      <c r="AJ2006" s="184"/>
      <c r="AK2006" s="184"/>
      <c r="AL2006" s="184"/>
      <c r="AM2006" s="184"/>
      <c r="AN2006" s="184"/>
      <c r="AO2006" s="184"/>
    </row>
    <row r="2007" spans="36:41" x14ac:dyDescent="0.25">
      <c r="AJ2007" s="184"/>
      <c r="AK2007" s="184"/>
      <c r="AL2007" s="184"/>
      <c r="AM2007" s="184"/>
      <c r="AN2007" s="184"/>
      <c r="AO2007" s="184"/>
    </row>
    <row r="2008" spans="36:41" x14ac:dyDescent="0.25">
      <c r="AJ2008" s="184"/>
      <c r="AK2008" s="184"/>
      <c r="AL2008" s="184"/>
      <c r="AM2008" s="184"/>
      <c r="AN2008" s="184"/>
      <c r="AO2008" s="184"/>
    </row>
    <row r="2009" spans="36:41" x14ac:dyDescent="0.25">
      <c r="AJ2009" s="184"/>
      <c r="AK2009" s="184"/>
      <c r="AL2009" s="184"/>
      <c r="AM2009" s="184"/>
      <c r="AN2009" s="184"/>
      <c r="AO2009" s="184"/>
    </row>
    <row r="2010" spans="36:41" x14ac:dyDescent="0.25">
      <c r="AJ2010" s="184"/>
      <c r="AK2010" s="184"/>
      <c r="AL2010" s="184"/>
      <c r="AM2010" s="184"/>
      <c r="AN2010" s="184"/>
      <c r="AO2010" s="184"/>
    </row>
    <row r="2011" spans="36:41" x14ac:dyDescent="0.25">
      <c r="AJ2011" s="184"/>
      <c r="AK2011" s="184"/>
      <c r="AL2011" s="184"/>
      <c r="AM2011" s="184"/>
      <c r="AN2011" s="184"/>
      <c r="AO2011" s="184"/>
    </row>
    <row r="2012" spans="36:41" x14ac:dyDescent="0.25">
      <c r="AJ2012" s="184"/>
      <c r="AK2012" s="184"/>
      <c r="AL2012" s="184"/>
      <c r="AM2012" s="184"/>
      <c r="AN2012" s="184"/>
      <c r="AO2012" s="184"/>
    </row>
    <row r="2013" spans="36:41" x14ac:dyDescent="0.25">
      <c r="AJ2013" s="184"/>
      <c r="AK2013" s="184"/>
      <c r="AL2013" s="184"/>
      <c r="AM2013" s="184"/>
      <c r="AN2013" s="184"/>
      <c r="AO2013" s="184"/>
    </row>
    <row r="2014" spans="36:41" x14ac:dyDescent="0.25">
      <c r="AJ2014" s="184"/>
      <c r="AK2014" s="184"/>
      <c r="AL2014" s="184"/>
      <c r="AM2014" s="184"/>
      <c r="AN2014" s="184"/>
      <c r="AO2014" s="184"/>
    </row>
    <row r="2015" spans="36:41" x14ac:dyDescent="0.25">
      <c r="AJ2015" s="184"/>
      <c r="AK2015" s="184"/>
      <c r="AL2015" s="184"/>
      <c r="AM2015" s="184"/>
      <c r="AN2015" s="184"/>
      <c r="AO2015" s="184"/>
    </row>
    <row r="2016" spans="36:41" x14ac:dyDescent="0.25">
      <c r="AJ2016" s="184"/>
      <c r="AK2016" s="184"/>
      <c r="AL2016" s="184"/>
      <c r="AM2016" s="184"/>
      <c r="AN2016" s="184"/>
      <c r="AO2016" s="184"/>
    </row>
    <row r="2017" spans="36:41" x14ac:dyDescent="0.25">
      <c r="AJ2017" s="184"/>
      <c r="AK2017" s="184"/>
      <c r="AL2017" s="184"/>
      <c r="AM2017" s="184"/>
      <c r="AN2017" s="184"/>
      <c r="AO2017" s="184"/>
    </row>
    <row r="2018" spans="36:41" x14ac:dyDescent="0.25">
      <c r="AJ2018" s="184"/>
      <c r="AK2018" s="184"/>
      <c r="AL2018" s="184"/>
      <c r="AM2018" s="184"/>
      <c r="AN2018" s="184"/>
      <c r="AO2018" s="184"/>
    </row>
    <row r="2019" spans="36:41" x14ac:dyDescent="0.25">
      <c r="AJ2019" s="184"/>
      <c r="AK2019" s="184"/>
      <c r="AL2019" s="184"/>
      <c r="AM2019" s="184"/>
      <c r="AN2019" s="184"/>
      <c r="AO2019" s="184"/>
    </row>
    <row r="2020" spans="36:41" x14ac:dyDescent="0.25">
      <c r="AJ2020" s="184"/>
      <c r="AK2020" s="184"/>
      <c r="AL2020" s="184"/>
      <c r="AM2020" s="184"/>
      <c r="AN2020" s="184"/>
      <c r="AO2020" s="184"/>
    </row>
    <row r="2021" spans="36:41" x14ac:dyDescent="0.25">
      <c r="AJ2021" s="184"/>
      <c r="AK2021" s="184"/>
      <c r="AL2021" s="184"/>
      <c r="AM2021" s="184"/>
      <c r="AN2021" s="184"/>
      <c r="AO2021" s="184"/>
    </row>
    <row r="2022" spans="36:41" x14ac:dyDescent="0.25">
      <c r="AJ2022" s="184"/>
      <c r="AK2022" s="184"/>
      <c r="AL2022" s="184"/>
      <c r="AM2022" s="184"/>
      <c r="AN2022" s="184"/>
      <c r="AO2022" s="184"/>
    </row>
    <row r="2023" spans="36:41" x14ac:dyDescent="0.25">
      <c r="AJ2023" s="184"/>
      <c r="AK2023" s="184"/>
      <c r="AL2023" s="184"/>
      <c r="AM2023" s="184"/>
      <c r="AN2023" s="184"/>
      <c r="AO2023" s="184"/>
    </row>
    <row r="2024" spans="36:41" x14ac:dyDescent="0.25">
      <c r="AJ2024" s="184"/>
      <c r="AK2024" s="184"/>
      <c r="AL2024" s="184"/>
      <c r="AM2024" s="184"/>
      <c r="AN2024" s="184"/>
      <c r="AO2024" s="184"/>
    </row>
    <row r="2025" spans="36:41" x14ac:dyDescent="0.25">
      <c r="AJ2025" s="184"/>
      <c r="AK2025" s="184"/>
      <c r="AL2025" s="184"/>
      <c r="AM2025" s="184"/>
      <c r="AN2025" s="184"/>
      <c r="AO2025" s="184"/>
    </row>
    <row r="2026" spans="36:41" x14ac:dyDescent="0.25">
      <c r="AJ2026" s="184"/>
      <c r="AK2026" s="184"/>
      <c r="AL2026" s="184"/>
      <c r="AM2026" s="184"/>
      <c r="AN2026" s="184"/>
      <c r="AO2026" s="184"/>
    </row>
    <row r="2027" spans="36:41" x14ac:dyDescent="0.25">
      <c r="AJ2027" s="184"/>
      <c r="AK2027" s="184"/>
      <c r="AL2027" s="184"/>
      <c r="AM2027" s="184"/>
      <c r="AN2027" s="184"/>
      <c r="AO2027" s="184"/>
    </row>
    <row r="2028" spans="36:41" x14ac:dyDescent="0.25">
      <c r="AJ2028" s="184"/>
      <c r="AK2028" s="184"/>
      <c r="AL2028" s="184"/>
      <c r="AM2028" s="184"/>
      <c r="AN2028" s="184"/>
      <c r="AO2028" s="184"/>
    </row>
    <row r="2029" spans="36:41" x14ac:dyDescent="0.25">
      <c r="AJ2029" s="184"/>
      <c r="AK2029" s="184"/>
      <c r="AL2029" s="184"/>
      <c r="AM2029" s="184"/>
      <c r="AN2029" s="184"/>
      <c r="AO2029" s="184"/>
    </row>
    <row r="2030" spans="36:41" x14ac:dyDescent="0.25">
      <c r="AJ2030" s="184"/>
      <c r="AK2030" s="184"/>
      <c r="AL2030" s="184"/>
      <c r="AM2030" s="184"/>
      <c r="AN2030" s="184"/>
      <c r="AO2030" s="184"/>
    </row>
    <row r="2031" spans="36:41" x14ac:dyDescent="0.25">
      <c r="AJ2031" s="184"/>
      <c r="AK2031" s="184"/>
      <c r="AL2031" s="184"/>
      <c r="AM2031" s="184"/>
      <c r="AN2031" s="184"/>
      <c r="AO2031" s="184"/>
    </row>
    <row r="2032" spans="36:41" x14ac:dyDescent="0.25">
      <c r="AJ2032" s="184"/>
      <c r="AK2032" s="184"/>
      <c r="AL2032" s="184"/>
      <c r="AM2032" s="184"/>
      <c r="AN2032" s="184"/>
      <c r="AO2032" s="184"/>
    </row>
    <row r="2033" spans="36:41" x14ac:dyDescent="0.25">
      <c r="AJ2033" s="184"/>
      <c r="AK2033" s="184"/>
      <c r="AL2033" s="184"/>
      <c r="AM2033" s="184"/>
      <c r="AN2033" s="184"/>
      <c r="AO2033" s="184"/>
    </row>
    <row r="2034" spans="36:41" x14ac:dyDescent="0.25">
      <c r="AJ2034" s="184"/>
      <c r="AK2034" s="184"/>
      <c r="AL2034" s="184"/>
      <c r="AM2034" s="184"/>
      <c r="AN2034" s="184"/>
      <c r="AO2034" s="184"/>
    </row>
    <row r="2035" spans="36:41" x14ac:dyDescent="0.25">
      <c r="AJ2035" s="184"/>
      <c r="AK2035" s="184"/>
      <c r="AL2035" s="184"/>
      <c r="AM2035" s="184"/>
      <c r="AN2035" s="184"/>
      <c r="AO2035" s="184"/>
    </row>
    <row r="2036" spans="36:41" x14ac:dyDescent="0.25">
      <c r="AJ2036" s="184"/>
      <c r="AK2036" s="184"/>
      <c r="AL2036" s="184"/>
      <c r="AM2036" s="184"/>
      <c r="AN2036" s="184"/>
      <c r="AO2036" s="184"/>
    </row>
    <row r="2037" spans="36:41" x14ac:dyDescent="0.25">
      <c r="AJ2037" s="184"/>
      <c r="AK2037" s="184"/>
      <c r="AL2037" s="184"/>
      <c r="AM2037" s="184"/>
      <c r="AN2037" s="184"/>
      <c r="AO2037" s="184"/>
    </row>
    <row r="2038" spans="36:41" x14ac:dyDescent="0.25">
      <c r="AJ2038" s="184"/>
      <c r="AK2038" s="184"/>
      <c r="AL2038" s="184"/>
      <c r="AM2038" s="184"/>
      <c r="AN2038" s="184"/>
      <c r="AO2038" s="184"/>
    </row>
    <row r="2039" spans="36:41" x14ac:dyDescent="0.25">
      <c r="AJ2039" s="184"/>
      <c r="AK2039" s="184"/>
      <c r="AL2039" s="184"/>
      <c r="AM2039" s="184"/>
      <c r="AN2039" s="184"/>
      <c r="AO2039" s="184"/>
    </row>
    <row r="2040" spans="36:41" x14ac:dyDescent="0.25">
      <c r="AJ2040" s="184"/>
      <c r="AK2040" s="184"/>
      <c r="AL2040" s="184"/>
      <c r="AM2040" s="184"/>
      <c r="AN2040" s="184"/>
      <c r="AO2040" s="184"/>
    </row>
    <row r="2041" spans="36:41" x14ac:dyDescent="0.25">
      <c r="AJ2041" s="184"/>
      <c r="AK2041" s="184"/>
      <c r="AL2041" s="184"/>
      <c r="AM2041" s="184"/>
      <c r="AN2041" s="184"/>
      <c r="AO2041" s="184"/>
    </row>
    <row r="2042" spans="36:41" x14ac:dyDescent="0.25">
      <c r="AJ2042" s="184"/>
      <c r="AK2042" s="184"/>
      <c r="AL2042" s="184"/>
      <c r="AM2042" s="184"/>
      <c r="AN2042" s="184"/>
      <c r="AO2042" s="184"/>
    </row>
    <row r="2043" spans="36:41" x14ac:dyDescent="0.25">
      <c r="AJ2043" s="184"/>
      <c r="AK2043" s="184"/>
      <c r="AL2043" s="184"/>
      <c r="AM2043" s="184"/>
      <c r="AN2043" s="184"/>
      <c r="AO2043" s="184"/>
    </row>
    <row r="2044" spans="36:41" x14ac:dyDescent="0.25">
      <c r="AJ2044" s="184"/>
      <c r="AK2044" s="184"/>
      <c r="AL2044" s="184"/>
      <c r="AM2044" s="184"/>
      <c r="AN2044" s="184"/>
      <c r="AO2044" s="184"/>
    </row>
    <row r="2045" spans="36:41" x14ac:dyDescent="0.25">
      <c r="AJ2045" s="184"/>
      <c r="AK2045" s="184"/>
      <c r="AL2045" s="184"/>
      <c r="AM2045" s="184"/>
      <c r="AN2045" s="184"/>
      <c r="AO2045" s="184"/>
    </row>
    <row r="2046" spans="36:41" x14ac:dyDescent="0.25">
      <c r="AJ2046" s="184"/>
      <c r="AK2046" s="184"/>
      <c r="AL2046" s="184"/>
      <c r="AM2046" s="184"/>
      <c r="AN2046" s="184"/>
      <c r="AO2046" s="184"/>
    </row>
    <row r="2047" spans="36:41" x14ac:dyDescent="0.25">
      <c r="AJ2047" s="184"/>
      <c r="AK2047" s="184"/>
      <c r="AL2047" s="184"/>
      <c r="AM2047" s="184"/>
      <c r="AN2047" s="184"/>
      <c r="AO2047" s="184"/>
    </row>
    <row r="2048" spans="36:41" x14ac:dyDescent="0.25">
      <c r="AJ2048" s="184"/>
      <c r="AK2048" s="184"/>
      <c r="AL2048" s="184"/>
      <c r="AM2048" s="184"/>
      <c r="AN2048" s="184"/>
      <c r="AO2048" s="184"/>
    </row>
    <row r="2049" spans="36:41" x14ac:dyDescent="0.25">
      <c r="AJ2049" s="184"/>
      <c r="AK2049" s="184"/>
      <c r="AL2049" s="184"/>
      <c r="AM2049" s="184"/>
      <c r="AN2049" s="184"/>
      <c r="AO2049" s="184"/>
    </row>
    <row r="2050" spans="36:41" x14ac:dyDescent="0.25">
      <c r="AJ2050" s="184"/>
      <c r="AK2050" s="184"/>
      <c r="AL2050" s="184"/>
      <c r="AM2050" s="184"/>
      <c r="AN2050" s="184"/>
      <c r="AO2050" s="184"/>
    </row>
    <row r="2051" spans="36:41" x14ac:dyDescent="0.25">
      <c r="AJ2051" s="184"/>
      <c r="AK2051" s="184"/>
      <c r="AL2051" s="184"/>
      <c r="AM2051" s="184"/>
      <c r="AN2051" s="184"/>
      <c r="AO2051" s="184"/>
    </row>
    <row r="2052" spans="36:41" x14ac:dyDescent="0.25">
      <c r="AJ2052" s="184"/>
      <c r="AK2052" s="184"/>
      <c r="AL2052" s="184"/>
      <c r="AM2052" s="184"/>
      <c r="AN2052" s="184"/>
      <c r="AO2052" s="184"/>
    </row>
    <row r="2053" spans="36:41" x14ac:dyDescent="0.25">
      <c r="AJ2053" s="184"/>
      <c r="AK2053" s="184"/>
      <c r="AL2053" s="184"/>
      <c r="AM2053" s="184"/>
      <c r="AN2053" s="184"/>
      <c r="AO2053" s="184"/>
    </row>
    <row r="2054" spans="36:41" x14ac:dyDescent="0.25">
      <c r="AJ2054" s="184"/>
      <c r="AK2054" s="184"/>
      <c r="AL2054" s="184"/>
      <c r="AM2054" s="184"/>
      <c r="AN2054" s="184"/>
      <c r="AO2054" s="184"/>
    </row>
    <row r="2055" spans="36:41" x14ac:dyDescent="0.25">
      <c r="AJ2055" s="184"/>
      <c r="AK2055" s="184"/>
      <c r="AL2055" s="184"/>
      <c r="AM2055" s="184"/>
      <c r="AN2055" s="184"/>
      <c r="AO2055" s="184"/>
    </row>
    <row r="2056" spans="36:41" x14ac:dyDescent="0.25">
      <c r="AJ2056" s="184"/>
      <c r="AK2056" s="184"/>
      <c r="AL2056" s="184"/>
      <c r="AM2056" s="184"/>
      <c r="AN2056" s="184"/>
      <c r="AO2056" s="184"/>
    </row>
    <row r="2057" spans="36:41" x14ac:dyDescent="0.25">
      <c r="AJ2057" s="184"/>
      <c r="AK2057" s="184"/>
      <c r="AL2057" s="184"/>
      <c r="AM2057" s="184"/>
      <c r="AN2057" s="184"/>
      <c r="AO2057" s="184"/>
    </row>
    <row r="2058" spans="36:41" x14ac:dyDescent="0.25">
      <c r="AJ2058" s="184"/>
      <c r="AK2058" s="184"/>
      <c r="AL2058" s="184"/>
      <c r="AM2058" s="184"/>
      <c r="AN2058" s="184"/>
      <c r="AO2058" s="184"/>
    </row>
    <row r="2059" spans="36:41" x14ac:dyDescent="0.25">
      <c r="AJ2059" s="184"/>
      <c r="AK2059" s="184"/>
      <c r="AL2059" s="184"/>
      <c r="AM2059" s="184"/>
      <c r="AN2059" s="184"/>
      <c r="AO2059" s="184"/>
    </row>
    <row r="2060" spans="36:41" x14ac:dyDescent="0.25">
      <c r="AJ2060" s="184"/>
      <c r="AK2060" s="184"/>
      <c r="AL2060" s="184"/>
      <c r="AM2060" s="184"/>
      <c r="AN2060" s="184"/>
      <c r="AO2060" s="184"/>
    </row>
    <row r="2061" spans="36:41" x14ac:dyDescent="0.25">
      <c r="AJ2061" s="184"/>
      <c r="AK2061" s="184"/>
      <c r="AL2061" s="184"/>
      <c r="AM2061" s="184"/>
      <c r="AN2061" s="184"/>
      <c r="AO2061" s="184"/>
    </row>
    <row r="2062" spans="36:41" x14ac:dyDescent="0.25">
      <c r="AJ2062" s="184"/>
      <c r="AK2062" s="184"/>
      <c r="AL2062" s="184"/>
      <c r="AM2062" s="184"/>
      <c r="AN2062" s="184"/>
      <c r="AO2062" s="184"/>
    </row>
    <row r="2063" spans="36:41" x14ac:dyDescent="0.25">
      <c r="AJ2063" s="184"/>
      <c r="AK2063" s="184"/>
      <c r="AL2063" s="184"/>
      <c r="AM2063" s="184"/>
      <c r="AN2063" s="184"/>
      <c r="AO2063" s="184"/>
    </row>
    <row r="2064" spans="36:41" x14ac:dyDescent="0.25">
      <c r="AJ2064" s="184"/>
      <c r="AK2064" s="184"/>
      <c r="AL2064" s="184"/>
      <c r="AM2064" s="184"/>
      <c r="AN2064" s="184"/>
      <c r="AO2064" s="184"/>
    </row>
    <row r="2065" spans="36:41" x14ac:dyDescent="0.25">
      <c r="AJ2065" s="184"/>
      <c r="AK2065" s="184"/>
      <c r="AL2065" s="184"/>
      <c r="AM2065" s="184"/>
      <c r="AN2065" s="184"/>
      <c r="AO2065" s="184"/>
    </row>
    <row r="2066" spans="36:41" x14ac:dyDescent="0.25">
      <c r="AJ2066" s="184"/>
      <c r="AK2066" s="184"/>
      <c r="AL2066" s="184"/>
      <c r="AM2066" s="184"/>
      <c r="AN2066" s="184"/>
      <c r="AO2066" s="184"/>
    </row>
    <row r="2067" spans="36:41" x14ac:dyDescent="0.25">
      <c r="AJ2067" s="184"/>
      <c r="AK2067" s="184"/>
      <c r="AL2067" s="184"/>
      <c r="AM2067" s="184"/>
      <c r="AN2067" s="184"/>
      <c r="AO2067" s="184"/>
    </row>
    <row r="2068" spans="36:41" x14ac:dyDescent="0.25">
      <c r="AJ2068" s="184"/>
      <c r="AK2068" s="184"/>
      <c r="AL2068" s="184"/>
      <c r="AM2068" s="184"/>
      <c r="AN2068" s="184"/>
      <c r="AO2068" s="184"/>
    </row>
    <row r="2069" spans="36:41" x14ac:dyDescent="0.25">
      <c r="AJ2069" s="184"/>
      <c r="AK2069" s="184"/>
      <c r="AL2069" s="184"/>
      <c r="AM2069" s="184"/>
      <c r="AN2069" s="184"/>
      <c r="AO2069" s="184"/>
    </row>
    <row r="2070" spans="36:41" x14ac:dyDescent="0.25">
      <c r="AJ2070" s="184"/>
      <c r="AK2070" s="184"/>
      <c r="AL2070" s="184"/>
      <c r="AM2070" s="184"/>
      <c r="AN2070" s="184"/>
      <c r="AO2070" s="184"/>
    </row>
    <row r="2071" spans="36:41" x14ac:dyDescent="0.25">
      <c r="AJ2071" s="184"/>
      <c r="AK2071" s="184"/>
      <c r="AL2071" s="184"/>
      <c r="AM2071" s="184"/>
      <c r="AN2071" s="184"/>
      <c r="AO2071" s="184"/>
    </row>
    <row r="2072" spans="36:41" x14ac:dyDescent="0.25">
      <c r="AJ2072" s="184"/>
      <c r="AK2072" s="184"/>
      <c r="AL2072" s="184"/>
      <c r="AM2072" s="184"/>
      <c r="AN2072" s="184"/>
      <c r="AO2072" s="184"/>
    </row>
    <row r="2073" spans="36:41" x14ac:dyDescent="0.25">
      <c r="AJ2073" s="184"/>
      <c r="AK2073" s="184"/>
      <c r="AL2073" s="184"/>
      <c r="AM2073" s="184"/>
      <c r="AN2073" s="184"/>
      <c r="AO2073" s="184"/>
    </row>
    <row r="2074" spans="36:41" x14ac:dyDescent="0.25">
      <c r="AJ2074" s="184"/>
      <c r="AK2074" s="184"/>
      <c r="AL2074" s="184"/>
      <c r="AM2074" s="184"/>
      <c r="AN2074" s="184"/>
      <c r="AO2074" s="184"/>
    </row>
    <row r="2075" spans="36:41" x14ac:dyDescent="0.25">
      <c r="AJ2075" s="184"/>
      <c r="AK2075" s="184"/>
      <c r="AL2075" s="184"/>
      <c r="AM2075" s="184"/>
      <c r="AN2075" s="184"/>
      <c r="AO2075" s="184"/>
    </row>
    <row r="2076" spans="36:41" x14ac:dyDescent="0.25">
      <c r="AJ2076" s="184"/>
      <c r="AK2076" s="184"/>
      <c r="AL2076" s="184"/>
      <c r="AM2076" s="184"/>
      <c r="AN2076" s="184"/>
      <c r="AO2076" s="184"/>
    </row>
    <row r="2077" spans="36:41" x14ac:dyDescent="0.25">
      <c r="AJ2077" s="184"/>
      <c r="AK2077" s="184"/>
      <c r="AL2077" s="184"/>
      <c r="AM2077" s="184"/>
      <c r="AN2077" s="184"/>
      <c r="AO2077" s="184"/>
    </row>
    <row r="2078" spans="36:41" x14ac:dyDescent="0.25">
      <c r="AJ2078" s="184"/>
      <c r="AK2078" s="184"/>
      <c r="AL2078" s="184"/>
      <c r="AM2078" s="184"/>
      <c r="AN2078" s="184"/>
      <c r="AO2078" s="184"/>
    </row>
    <row r="2079" spans="36:41" x14ac:dyDescent="0.25">
      <c r="AJ2079" s="184"/>
      <c r="AK2079" s="184"/>
      <c r="AL2079" s="184"/>
      <c r="AM2079" s="184"/>
      <c r="AN2079" s="184"/>
      <c r="AO2079" s="184"/>
    </row>
    <row r="2080" spans="36:41" x14ac:dyDescent="0.25">
      <c r="AJ2080" s="184"/>
      <c r="AK2080" s="184"/>
      <c r="AL2080" s="184"/>
      <c r="AM2080" s="184"/>
      <c r="AN2080" s="184"/>
      <c r="AO2080" s="184"/>
    </row>
    <row r="2081" spans="36:41" x14ac:dyDescent="0.25">
      <c r="AJ2081" s="184"/>
      <c r="AK2081" s="184"/>
      <c r="AL2081" s="184"/>
      <c r="AM2081" s="184"/>
      <c r="AN2081" s="184"/>
      <c r="AO2081" s="184"/>
    </row>
    <row r="2082" spans="36:41" x14ac:dyDescent="0.25">
      <c r="AJ2082" s="184"/>
      <c r="AK2082" s="184"/>
      <c r="AL2082" s="184"/>
      <c r="AM2082" s="184"/>
      <c r="AN2082" s="184"/>
      <c r="AO2082" s="184"/>
    </row>
    <row r="2083" spans="36:41" x14ac:dyDescent="0.25">
      <c r="AJ2083" s="184"/>
      <c r="AK2083" s="184"/>
      <c r="AL2083" s="184"/>
      <c r="AM2083" s="184"/>
      <c r="AN2083" s="184"/>
      <c r="AO2083" s="184"/>
    </row>
    <row r="2084" spans="36:41" x14ac:dyDescent="0.25">
      <c r="AJ2084" s="184"/>
      <c r="AK2084" s="184"/>
      <c r="AL2084" s="184"/>
      <c r="AM2084" s="184"/>
      <c r="AN2084" s="184"/>
      <c r="AO2084" s="184"/>
    </row>
    <row r="2085" spans="36:41" x14ac:dyDescent="0.25">
      <c r="AJ2085" s="184"/>
      <c r="AK2085" s="184"/>
      <c r="AL2085" s="184"/>
      <c r="AM2085" s="184"/>
      <c r="AN2085" s="184"/>
      <c r="AO2085" s="184"/>
    </row>
    <row r="2086" spans="36:41" x14ac:dyDescent="0.25">
      <c r="AJ2086" s="184"/>
      <c r="AK2086" s="184"/>
      <c r="AL2086" s="184"/>
      <c r="AM2086" s="184"/>
      <c r="AN2086" s="184"/>
      <c r="AO2086" s="184"/>
    </row>
    <row r="2087" spans="36:41" x14ac:dyDescent="0.25">
      <c r="AJ2087" s="184"/>
      <c r="AK2087" s="184"/>
      <c r="AL2087" s="184"/>
      <c r="AM2087" s="184"/>
      <c r="AN2087" s="184"/>
      <c r="AO2087" s="184"/>
    </row>
    <row r="2088" spans="36:41" x14ac:dyDescent="0.25">
      <c r="AJ2088" s="184"/>
      <c r="AK2088" s="184"/>
      <c r="AL2088" s="184"/>
      <c r="AM2088" s="184"/>
      <c r="AN2088" s="184"/>
      <c r="AO2088" s="184"/>
    </row>
    <row r="2089" spans="36:41" x14ac:dyDescent="0.25">
      <c r="AJ2089" s="184"/>
      <c r="AK2089" s="184"/>
      <c r="AL2089" s="184"/>
      <c r="AM2089" s="184"/>
      <c r="AN2089" s="184"/>
      <c r="AO2089" s="184"/>
    </row>
    <row r="2090" spans="36:41" x14ac:dyDescent="0.25">
      <c r="AJ2090" s="184"/>
      <c r="AK2090" s="184"/>
      <c r="AL2090" s="184"/>
      <c r="AM2090" s="184"/>
      <c r="AN2090" s="184"/>
      <c r="AO2090" s="184"/>
    </row>
    <row r="2091" spans="36:41" x14ac:dyDescent="0.25">
      <c r="AJ2091" s="184"/>
      <c r="AK2091" s="184"/>
      <c r="AL2091" s="184"/>
      <c r="AM2091" s="184"/>
      <c r="AN2091" s="184"/>
      <c r="AO2091" s="184"/>
    </row>
    <row r="2092" spans="36:41" x14ac:dyDescent="0.25">
      <c r="AJ2092" s="184"/>
      <c r="AK2092" s="184"/>
      <c r="AL2092" s="184"/>
      <c r="AM2092" s="184"/>
      <c r="AN2092" s="184"/>
      <c r="AO2092" s="184"/>
    </row>
    <row r="2093" spans="36:41" x14ac:dyDescent="0.25">
      <c r="AJ2093" s="184"/>
      <c r="AK2093" s="184"/>
      <c r="AL2093" s="184"/>
      <c r="AM2093" s="184"/>
      <c r="AN2093" s="184"/>
      <c r="AO2093" s="184"/>
    </row>
    <row r="2094" spans="36:41" x14ac:dyDescent="0.25">
      <c r="AJ2094" s="184"/>
      <c r="AK2094" s="184"/>
      <c r="AL2094" s="184"/>
      <c r="AM2094" s="184"/>
      <c r="AN2094" s="184"/>
      <c r="AO2094" s="184"/>
    </row>
    <row r="2095" spans="36:41" x14ac:dyDescent="0.25">
      <c r="AJ2095" s="184"/>
      <c r="AK2095" s="184"/>
      <c r="AL2095" s="184"/>
      <c r="AM2095" s="184"/>
      <c r="AN2095" s="184"/>
      <c r="AO2095" s="184"/>
    </row>
    <row r="2096" spans="36:41" x14ac:dyDescent="0.25">
      <c r="AJ2096" s="184"/>
      <c r="AK2096" s="184"/>
      <c r="AL2096" s="184"/>
      <c r="AM2096" s="184"/>
      <c r="AN2096" s="184"/>
      <c r="AO2096" s="184"/>
    </row>
    <row r="2097" spans="36:41" x14ac:dyDescent="0.25">
      <c r="AJ2097" s="184"/>
      <c r="AK2097" s="184"/>
      <c r="AL2097" s="184"/>
      <c r="AM2097" s="184"/>
      <c r="AN2097" s="184"/>
      <c r="AO2097" s="184"/>
    </row>
    <row r="2098" spans="36:41" x14ac:dyDescent="0.25">
      <c r="AJ2098" s="184"/>
      <c r="AK2098" s="184"/>
      <c r="AL2098" s="184"/>
      <c r="AM2098" s="184"/>
      <c r="AN2098" s="184"/>
      <c r="AO2098" s="184"/>
    </row>
    <row r="2099" spans="36:41" x14ac:dyDescent="0.25">
      <c r="AJ2099" s="184"/>
      <c r="AK2099" s="184"/>
      <c r="AL2099" s="184"/>
      <c r="AM2099" s="184"/>
      <c r="AN2099" s="184"/>
      <c r="AO2099" s="184"/>
    </row>
    <row r="2100" spans="36:41" x14ac:dyDescent="0.25">
      <c r="AJ2100" s="184"/>
      <c r="AK2100" s="184"/>
      <c r="AL2100" s="184"/>
      <c r="AM2100" s="184"/>
      <c r="AN2100" s="184"/>
      <c r="AO2100" s="184"/>
    </row>
    <row r="2101" spans="36:41" x14ac:dyDescent="0.25">
      <c r="AJ2101" s="184"/>
      <c r="AK2101" s="184"/>
      <c r="AL2101" s="184"/>
      <c r="AM2101" s="184"/>
      <c r="AN2101" s="184"/>
      <c r="AO2101" s="184"/>
    </row>
    <row r="2102" spans="36:41" x14ac:dyDescent="0.25">
      <c r="AJ2102" s="184"/>
      <c r="AK2102" s="184"/>
      <c r="AL2102" s="184"/>
      <c r="AM2102" s="184"/>
      <c r="AN2102" s="184"/>
      <c r="AO2102" s="184"/>
    </row>
    <row r="2103" spans="36:41" x14ac:dyDescent="0.25">
      <c r="AJ2103" s="184"/>
      <c r="AK2103" s="184"/>
      <c r="AL2103" s="184"/>
      <c r="AM2103" s="184"/>
      <c r="AN2103" s="184"/>
      <c r="AO2103" s="184"/>
    </row>
    <row r="2104" spans="36:41" x14ac:dyDescent="0.25">
      <c r="AJ2104" s="184"/>
      <c r="AK2104" s="184"/>
      <c r="AL2104" s="184"/>
      <c r="AM2104" s="184"/>
      <c r="AN2104" s="184"/>
      <c r="AO2104" s="184"/>
    </row>
    <row r="2105" spans="36:41" x14ac:dyDescent="0.25">
      <c r="AJ2105" s="184"/>
      <c r="AK2105" s="184"/>
      <c r="AL2105" s="184"/>
      <c r="AM2105" s="184"/>
      <c r="AN2105" s="184"/>
      <c r="AO2105" s="184"/>
    </row>
    <row r="2106" spans="36:41" x14ac:dyDescent="0.25">
      <c r="AJ2106" s="184"/>
      <c r="AK2106" s="184"/>
      <c r="AL2106" s="184"/>
      <c r="AM2106" s="184"/>
      <c r="AN2106" s="184"/>
      <c r="AO2106" s="184"/>
    </row>
    <row r="2107" spans="36:41" x14ac:dyDescent="0.25">
      <c r="AJ2107" s="184"/>
      <c r="AK2107" s="184"/>
      <c r="AL2107" s="184"/>
      <c r="AM2107" s="184"/>
      <c r="AN2107" s="184"/>
      <c r="AO2107" s="184"/>
    </row>
    <row r="2108" spans="36:41" x14ac:dyDescent="0.25">
      <c r="AJ2108" s="184"/>
      <c r="AK2108" s="184"/>
      <c r="AL2108" s="184"/>
      <c r="AM2108" s="184"/>
      <c r="AN2108" s="184"/>
      <c r="AO2108" s="184"/>
    </row>
    <row r="2109" spans="36:41" x14ac:dyDescent="0.25">
      <c r="AJ2109" s="184"/>
      <c r="AK2109" s="184"/>
      <c r="AL2109" s="184"/>
      <c r="AM2109" s="184"/>
      <c r="AN2109" s="184"/>
      <c r="AO2109" s="184"/>
    </row>
    <row r="2110" spans="36:41" x14ac:dyDescent="0.25">
      <c r="AJ2110" s="184"/>
      <c r="AK2110" s="184"/>
      <c r="AL2110" s="184"/>
      <c r="AM2110" s="184"/>
      <c r="AN2110" s="184"/>
      <c r="AO2110" s="184"/>
    </row>
    <row r="2111" spans="36:41" x14ac:dyDescent="0.25">
      <c r="AJ2111" s="184"/>
      <c r="AK2111" s="184"/>
      <c r="AL2111" s="184"/>
      <c r="AM2111" s="184"/>
      <c r="AN2111" s="184"/>
      <c r="AO2111" s="184"/>
    </row>
    <row r="2112" spans="36:41" x14ac:dyDescent="0.25">
      <c r="AJ2112" s="184"/>
      <c r="AK2112" s="184"/>
      <c r="AL2112" s="184"/>
      <c r="AM2112" s="184"/>
      <c r="AN2112" s="184"/>
      <c r="AO2112" s="184"/>
    </row>
    <row r="2113" spans="36:41" x14ac:dyDescent="0.25">
      <c r="AJ2113" s="184"/>
      <c r="AK2113" s="184"/>
      <c r="AL2113" s="184"/>
      <c r="AM2113" s="184"/>
      <c r="AN2113" s="184"/>
      <c r="AO2113" s="184"/>
    </row>
    <row r="2114" spans="36:41" x14ac:dyDescent="0.25">
      <c r="AJ2114" s="184"/>
      <c r="AK2114" s="184"/>
      <c r="AL2114" s="184"/>
      <c r="AM2114" s="184"/>
      <c r="AN2114" s="184"/>
      <c r="AO2114" s="184"/>
    </row>
    <row r="2115" spans="36:41" x14ac:dyDescent="0.25">
      <c r="AJ2115" s="184"/>
      <c r="AK2115" s="184"/>
      <c r="AL2115" s="184"/>
      <c r="AM2115" s="184"/>
      <c r="AN2115" s="184"/>
      <c r="AO2115" s="184"/>
    </row>
    <row r="2116" spans="36:41" x14ac:dyDescent="0.25">
      <c r="AJ2116" s="184"/>
      <c r="AK2116" s="184"/>
      <c r="AL2116" s="184"/>
      <c r="AM2116" s="184"/>
      <c r="AN2116" s="184"/>
      <c r="AO2116" s="184"/>
    </row>
    <row r="2117" spans="36:41" x14ac:dyDescent="0.25">
      <c r="AJ2117" s="184"/>
      <c r="AK2117" s="184"/>
      <c r="AL2117" s="184"/>
      <c r="AM2117" s="184"/>
      <c r="AN2117" s="184"/>
      <c r="AO2117" s="184"/>
    </row>
    <row r="2118" spans="36:41" x14ac:dyDescent="0.25">
      <c r="AJ2118" s="184"/>
      <c r="AK2118" s="184"/>
      <c r="AL2118" s="184"/>
      <c r="AM2118" s="184"/>
      <c r="AN2118" s="184"/>
      <c r="AO2118" s="184"/>
    </row>
    <row r="2119" spans="36:41" x14ac:dyDescent="0.25">
      <c r="AJ2119" s="184"/>
      <c r="AK2119" s="184"/>
      <c r="AL2119" s="184"/>
      <c r="AM2119" s="184"/>
      <c r="AN2119" s="184"/>
      <c r="AO2119" s="184"/>
    </row>
    <row r="2120" spans="36:41" x14ac:dyDescent="0.25">
      <c r="AJ2120" s="184"/>
      <c r="AK2120" s="184"/>
      <c r="AL2120" s="184"/>
      <c r="AM2120" s="184"/>
      <c r="AN2120" s="184"/>
      <c r="AO2120" s="184"/>
    </row>
    <row r="2121" spans="36:41" x14ac:dyDescent="0.25">
      <c r="AJ2121" s="184"/>
      <c r="AK2121" s="184"/>
      <c r="AL2121" s="184"/>
      <c r="AM2121" s="184"/>
      <c r="AN2121" s="184"/>
      <c r="AO2121" s="184"/>
    </row>
    <row r="2122" spans="36:41" x14ac:dyDescent="0.25">
      <c r="AJ2122" s="184"/>
      <c r="AK2122" s="184"/>
      <c r="AL2122" s="184"/>
      <c r="AM2122" s="184"/>
      <c r="AN2122" s="184"/>
      <c r="AO2122" s="184"/>
    </row>
    <row r="2123" spans="36:41" x14ac:dyDescent="0.25">
      <c r="AJ2123" s="184"/>
      <c r="AK2123" s="184"/>
      <c r="AL2123" s="184"/>
      <c r="AM2123" s="184"/>
      <c r="AN2123" s="184"/>
      <c r="AO2123" s="184"/>
    </row>
    <row r="2124" spans="36:41" x14ac:dyDescent="0.25">
      <c r="AJ2124" s="184"/>
      <c r="AK2124" s="184"/>
      <c r="AL2124" s="184"/>
      <c r="AM2124" s="184"/>
      <c r="AN2124" s="184"/>
      <c r="AO2124" s="184"/>
    </row>
    <row r="2125" spans="36:41" x14ac:dyDescent="0.25">
      <c r="AJ2125" s="184"/>
      <c r="AK2125" s="184"/>
      <c r="AL2125" s="184"/>
      <c r="AM2125" s="184"/>
      <c r="AN2125" s="184"/>
      <c r="AO2125" s="184"/>
    </row>
    <row r="2126" spans="36:41" x14ac:dyDescent="0.25">
      <c r="AJ2126" s="184"/>
      <c r="AK2126" s="184"/>
      <c r="AL2126" s="184"/>
      <c r="AM2126" s="184"/>
      <c r="AN2126" s="184"/>
      <c r="AO2126" s="184"/>
    </row>
    <row r="2127" spans="36:41" x14ac:dyDescent="0.25">
      <c r="AJ2127" s="184"/>
      <c r="AK2127" s="184"/>
      <c r="AL2127" s="184"/>
      <c r="AM2127" s="184"/>
      <c r="AN2127" s="184"/>
      <c r="AO2127" s="184"/>
    </row>
    <row r="2128" spans="36:41" x14ac:dyDescent="0.25">
      <c r="AJ2128" s="184"/>
      <c r="AK2128" s="184"/>
      <c r="AL2128" s="184"/>
      <c r="AM2128" s="184"/>
      <c r="AN2128" s="184"/>
      <c r="AO2128" s="184"/>
    </row>
    <row r="2129" spans="36:41" x14ac:dyDescent="0.25">
      <c r="AJ2129" s="184"/>
      <c r="AK2129" s="184"/>
      <c r="AL2129" s="184"/>
      <c r="AM2129" s="184"/>
      <c r="AN2129" s="184"/>
      <c r="AO2129" s="184"/>
    </row>
    <row r="2130" spans="36:41" x14ac:dyDescent="0.25">
      <c r="AJ2130" s="184"/>
      <c r="AK2130" s="184"/>
      <c r="AL2130" s="184"/>
      <c r="AM2130" s="184"/>
      <c r="AN2130" s="184"/>
      <c r="AO2130" s="184"/>
    </row>
    <row r="2131" spans="36:41" x14ac:dyDescent="0.25">
      <c r="AJ2131" s="184"/>
      <c r="AK2131" s="184"/>
      <c r="AL2131" s="184"/>
      <c r="AM2131" s="184"/>
      <c r="AN2131" s="184"/>
      <c r="AO2131" s="184"/>
    </row>
    <row r="2132" spans="36:41" x14ac:dyDescent="0.25">
      <c r="AJ2132" s="184"/>
      <c r="AK2132" s="184"/>
      <c r="AL2132" s="184"/>
      <c r="AM2132" s="184"/>
      <c r="AN2132" s="184"/>
      <c r="AO2132" s="184"/>
    </row>
    <row r="2133" spans="36:41" x14ac:dyDescent="0.25">
      <c r="AJ2133" s="184"/>
      <c r="AK2133" s="184"/>
      <c r="AL2133" s="184"/>
      <c r="AM2133" s="184"/>
      <c r="AN2133" s="184"/>
      <c r="AO2133" s="184"/>
    </row>
    <row r="2134" spans="36:41" x14ac:dyDescent="0.25">
      <c r="AJ2134" s="184"/>
      <c r="AK2134" s="184"/>
      <c r="AL2134" s="184"/>
      <c r="AM2134" s="184"/>
      <c r="AN2134" s="184"/>
      <c r="AO2134" s="184"/>
    </row>
    <row r="2135" spans="36:41" x14ac:dyDescent="0.25">
      <c r="AJ2135" s="184"/>
      <c r="AK2135" s="184"/>
      <c r="AL2135" s="184"/>
      <c r="AM2135" s="184"/>
      <c r="AN2135" s="184"/>
      <c r="AO2135" s="184"/>
    </row>
    <row r="2136" spans="36:41" x14ac:dyDescent="0.25">
      <c r="AJ2136" s="184"/>
      <c r="AK2136" s="184"/>
      <c r="AL2136" s="184"/>
      <c r="AM2136" s="184"/>
      <c r="AN2136" s="184"/>
      <c r="AO2136" s="184"/>
    </row>
    <row r="2137" spans="36:41" x14ac:dyDescent="0.25">
      <c r="AJ2137" s="184"/>
      <c r="AK2137" s="184"/>
      <c r="AL2137" s="184"/>
      <c r="AM2137" s="184"/>
      <c r="AN2137" s="184"/>
      <c r="AO2137" s="184"/>
    </row>
    <row r="2138" spans="36:41" x14ac:dyDescent="0.25">
      <c r="AJ2138" s="184"/>
      <c r="AK2138" s="184"/>
      <c r="AL2138" s="184"/>
      <c r="AM2138" s="184"/>
      <c r="AN2138" s="184"/>
      <c r="AO2138" s="184"/>
    </row>
    <row r="2139" spans="36:41" x14ac:dyDescent="0.25">
      <c r="AJ2139" s="184"/>
      <c r="AK2139" s="184"/>
      <c r="AL2139" s="184"/>
      <c r="AM2139" s="184"/>
      <c r="AN2139" s="184"/>
      <c r="AO2139" s="184"/>
    </row>
    <row r="2140" spans="36:41" x14ac:dyDescent="0.25">
      <c r="AJ2140" s="184"/>
      <c r="AK2140" s="184"/>
      <c r="AL2140" s="184"/>
      <c r="AM2140" s="184"/>
      <c r="AN2140" s="184"/>
      <c r="AO2140" s="184"/>
    </row>
    <row r="2141" spans="36:41" x14ac:dyDescent="0.25">
      <c r="AJ2141" s="184"/>
      <c r="AK2141" s="184"/>
      <c r="AL2141" s="184"/>
      <c r="AM2141" s="184"/>
      <c r="AN2141" s="184"/>
      <c r="AO2141" s="184"/>
    </row>
    <row r="2142" spans="36:41" x14ac:dyDescent="0.25">
      <c r="AJ2142" s="184"/>
      <c r="AK2142" s="184"/>
      <c r="AL2142" s="184"/>
      <c r="AM2142" s="184"/>
      <c r="AN2142" s="184"/>
      <c r="AO2142" s="184"/>
    </row>
    <row r="2143" spans="36:41" x14ac:dyDescent="0.25">
      <c r="AJ2143" s="184"/>
      <c r="AK2143" s="184"/>
      <c r="AL2143" s="184"/>
      <c r="AM2143" s="184"/>
      <c r="AN2143" s="184"/>
      <c r="AO2143" s="184"/>
    </row>
    <row r="2144" spans="36:41" x14ac:dyDescent="0.25">
      <c r="AJ2144" s="184"/>
      <c r="AK2144" s="184"/>
      <c r="AL2144" s="184"/>
      <c r="AM2144" s="184"/>
      <c r="AN2144" s="184"/>
      <c r="AO2144" s="184"/>
    </row>
    <row r="2145" spans="36:41" x14ac:dyDescent="0.25">
      <c r="AJ2145" s="184"/>
      <c r="AK2145" s="184"/>
      <c r="AL2145" s="184"/>
      <c r="AM2145" s="184"/>
      <c r="AN2145" s="184"/>
      <c r="AO2145" s="184"/>
    </row>
    <row r="2146" spans="36:41" x14ac:dyDescent="0.25">
      <c r="AJ2146" s="184"/>
      <c r="AK2146" s="184"/>
      <c r="AL2146" s="184"/>
      <c r="AM2146" s="184"/>
      <c r="AN2146" s="184"/>
      <c r="AO2146" s="184"/>
    </row>
    <row r="2147" spans="36:41" x14ac:dyDescent="0.25">
      <c r="AJ2147" s="184"/>
      <c r="AK2147" s="184"/>
      <c r="AL2147" s="184"/>
      <c r="AM2147" s="184"/>
      <c r="AN2147" s="184"/>
      <c r="AO2147" s="184"/>
    </row>
    <row r="2148" spans="36:41" x14ac:dyDescent="0.25">
      <c r="AJ2148" s="184"/>
      <c r="AK2148" s="184"/>
      <c r="AL2148" s="184"/>
      <c r="AM2148" s="184"/>
      <c r="AN2148" s="184"/>
      <c r="AO2148" s="184"/>
    </row>
    <row r="2149" spans="36:41" x14ac:dyDescent="0.25">
      <c r="AJ2149" s="184"/>
      <c r="AK2149" s="184"/>
      <c r="AL2149" s="184"/>
      <c r="AM2149" s="184"/>
      <c r="AN2149" s="184"/>
      <c r="AO2149" s="184"/>
    </row>
    <row r="2150" spans="36:41" x14ac:dyDescent="0.25">
      <c r="AJ2150" s="184"/>
      <c r="AK2150" s="184"/>
      <c r="AL2150" s="184"/>
      <c r="AM2150" s="184"/>
      <c r="AN2150" s="184"/>
      <c r="AO2150" s="184"/>
    </row>
    <row r="2151" spans="36:41" x14ac:dyDescent="0.25">
      <c r="AJ2151" s="184"/>
      <c r="AK2151" s="184"/>
      <c r="AL2151" s="184"/>
      <c r="AM2151" s="184"/>
      <c r="AN2151" s="184"/>
      <c r="AO2151" s="184"/>
    </row>
    <row r="2152" spans="36:41" x14ac:dyDescent="0.25">
      <c r="AJ2152" s="184"/>
      <c r="AK2152" s="184"/>
      <c r="AL2152" s="184"/>
      <c r="AM2152" s="184"/>
      <c r="AN2152" s="184"/>
      <c r="AO2152" s="184"/>
    </row>
    <row r="2153" spans="36:41" x14ac:dyDescent="0.25">
      <c r="AJ2153" s="184"/>
      <c r="AK2153" s="184"/>
      <c r="AL2153" s="184"/>
      <c r="AM2153" s="184"/>
      <c r="AN2153" s="184"/>
      <c r="AO2153" s="184"/>
    </row>
    <row r="2154" spans="36:41" x14ac:dyDescent="0.25">
      <c r="AJ2154" s="184"/>
      <c r="AK2154" s="184"/>
      <c r="AL2154" s="184"/>
      <c r="AM2154" s="184"/>
      <c r="AN2154" s="184"/>
      <c r="AO2154" s="184"/>
    </row>
    <row r="2155" spans="36:41" x14ac:dyDescent="0.25">
      <c r="AJ2155" s="184"/>
      <c r="AK2155" s="184"/>
      <c r="AL2155" s="184"/>
      <c r="AM2155" s="184"/>
      <c r="AN2155" s="184"/>
      <c r="AO2155" s="184"/>
    </row>
    <row r="2156" spans="36:41" x14ac:dyDescent="0.25">
      <c r="AJ2156" s="184"/>
      <c r="AK2156" s="184"/>
      <c r="AL2156" s="184"/>
      <c r="AM2156" s="184"/>
      <c r="AN2156" s="184"/>
      <c r="AO2156" s="184"/>
    </row>
    <row r="2157" spans="36:41" x14ac:dyDescent="0.25">
      <c r="AJ2157" s="184"/>
      <c r="AK2157" s="184"/>
      <c r="AL2157" s="184"/>
      <c r="AM2157" s="184"/>
      <c r="AN2157" s="184"/>
      <c r="AO2157" s="184"/>
    </row>
    <row r="2158" spans="36:41" x14ac:dyDescent="0.25">
      <c r="AJ2158" s="184"/>
      <c r="AK2158" s="184"/>
      <c r="AL2158" s="184"/>
      <c r="AM2158" s="184"/>
      <c r="AN2158" s="184"/>
      <c r="AO2158" s="184"/>
    </row>
    <row r="2159" spans="36:41" x14ac:dyDescent="0.25">
      <c r="AJ2159" s="184"/>
      <c r="AK2159" s="184"/>
      <c r="AL2159" s="184"/>
      <c r="AM2159" s="184"/>
      <c r="AN2159" s="184"/>
      <c r="AO2159" s="184"/>
    </row>
    <row r="2160" spans="36:41" x14ac:dyDescent="0.25">
      <c r="AJ2160" s="184"/>
      <c r="AK2160" s="184"/>
      <c r="AL2160" s="184"/>
      <c r="AM2160" s="184"/>
      <c r="AN2160" s="184"/>
      <c r="AO2160" s="184"/>
    </row>
    <row r="2161" spans="36:41" x14ac:dyDescent="0.25">
      <c r="AJ2161" s="184"/>
      <c r="AK2161" s="184"/>
      <c r="AL2161" s="184"/>
      <c r="AM2161" s="184"/>
      <c r="AN2161" s="184"/>
      <c r="AO2161" s="184"/>
    </row>
    <row r="2162" spans="36:41" x14ac:dyDescent="0.25">
      <c r="AJ2162" s="184"/>
      <c r="AK2162" s="184"/>
      <c r="AL2162" s="184"/>
      <c r="AM2162" s="184"/>
      <c r="AN2162" s="184"/>
      <c r="AO2162" s="184"/>
    </row>
    <row r="2163" spans="36:41" x14ac:dyDescent="0.25">
      <c r="AJ2163" s="184"/>
      <c r="AK2163" s="184"/>
      <c r="AL2163" s="184"/>
      <c r="AM2163" s="184"/>
      <c r="AN2163" s="184"/>
      <c r="AO2163" s="184"/>
    </row>
    <row r="2164" spans="36:41" x14ac:dyDescent="0.25">
      <c r="AJ2164" s="184"/>
      <c r="AK2164" s="184"/>
      <c r="AL2164" s="184"/>
      <c r="AM2164" s="184"/>
      <c r="AN2164" s="184"/>
      <c r="AO2164" s="184"/>
    </row>
    <row r="2165" spans="36:41" x14ac:dyDescent="0.25">
      <c r="AJ2165" s="184"/>
      <c r="AK2165" s="184"/>
      <c r="AL2165" s="184"/>
      <c r="AM2165" s="184"/>
      <c r="AN2165" s="184"/>
      <c r="AO2165" s="184"/>
    </row>
    <row r="2166" spans="36:41" x14ac:dyDescent="0.25">
      <c r="AJ2166" s="184"/>
      <c r="AK2166" s="184"/>
      <c r="AL2166" s="184"/>
      <c r="AM2166" s="184"/>
      <c r="AN2166" s="184"/>
      <c r="AO2166" s="184"/>
    </row>
    <row r="2167" spans="36:41" x14ac:dyDescent="0.25">
      <c r="AJ2167" s="184"/>
      <c r="AK2167" s="184"/>
      <c r="AL2167" s="184"/>
      <c r="AM2167" s="184"/>
      <c r="AN2167" s="184"/>
      <c r="AO2167" s="184"/>
    </row>
    <row r="2168" spans="36:41" x14ac:dyDescent="0.25">
      <c r="AJ2168" s="184"/>
      <c r="AK2168" s="184"/>
      <c r="AL2168" s="184"/>
      <c r="AM2168" s="184"/>
      <c r="AN2168" s="184"/>
      <c r="AO2168" s="184"/>
    </row>
    <row r="2169" spans="36:41" x14ac:dyDescent="0.25">
      <c r="AJ2169" s="184"/>
      <c r="AK2169" s="184"/>
      <c r="AL2169" s="184"/>
      <c r="AM2169" s="184"/>
      <c r="AN2169" s="184"/>
      <c r="AO2169" s="184"/>
    </row>
    <row r="2170" spans="36:41" x14ac:dyDescent="0.25">
      <c r="AJ2170" s="184"/>
      <c r="AK2170" s="184"/>
      <c r="AL2170" s="184"/>
      <c r="AM2170" s="184"/>
      <c r="AN2170" s="184"/>
      <c r="AO2170" s="184"/>
    </row>
    <row r="2171" spans="36:41" x14ac:dyDescent="0.25">
      <c r="AJ2171" s="184"/>
      <c r="AK2171" s="184"/>
      <c r="AL2171" s="184"/>
      <c r="AM2171" s="184"/>
      <c r="AN2171" s="184"/>
      <c r="AO2171" s="184"/>
    </row>
  </sheetData>
  <protectedRanges>
    <protectedRange algorithmName="SHA-512" hashValue="gH3vXsEms7Gms4JWfDGJVJgCkpsBbqRGpUTn2BF6ZbsexdYxVLnUeQYtrmuadDCw/xmRlhA0YaqozFUJOVIZiA==" saltValue="xz15J4KHD6V0jFsauhn4pA==" spinCount="100000" sqref="P31:P35" name="Rango1"/>
  </protectedRanges>
  <autoFilter ref="AJ3:AN3" xr:uid="{00000000-0009-0000-0000-000000000000}">
    <sortState xmlns:xlrd2="http://schemas.microsoft.com/office/spreadsheetml/2017/richdata2" ref="AJ4:AO435">
      <sortCondition ref="AJ3"/>
    </sortState>
  </autoFilter>
  <mergeCells count="98">
    <mergeCell ref="B33:C33"/>
    <mergeCell ref="D33:G33"/>
    <mergeCell ref="D31:G31"/>
    <mergeCell ref="I45:J45"/>
    <mergeCell ref="I46:J46"/>
    <mergeCell ref="I44:J44"/>
    <mergeCell ref="B34:C34"/>
    <mergeCell ref="B47:C47"/>
    <mergeCell ref="D47:G47"/>
    <mergeCell ref="I47:J47"/>
    <mergeCell ref="B41:C41"/>
    <mergeCell ref="B43:C43"/>
    <mergeCell ref="B44:C44"/>
    <mergeCell ref="B45:C45"/>
    <mergeCell ref="B46:C46"/>
    <mergeCell ref="D42:G42"/>
    <mergeCell ref="D43:G43"/>
    <mergeCell ref="D44:G44"/>
    <mergeCell ref="D45:G45"/>
    <mergeCell ref="D46:G46"/>
    <mergeCell ref="I42:J42"/>
    <mergeCell ref="I43:J43"/>
    <mergeCell ref="R14:S14"/>
    <mergeCell ref="R15:S15"/>
    <mergeCell ref="R16:S16"/>
    <mergeCell ref="R17:S17"/>
    <mergeCell ref="R18:S18"/>
    <mergeCell ref="L17:M17"/>
    <mergeCell ref="L16:M16"/>
    <mergeCell ref="I33:J33"/>
    <mergeCell ref="I34:J34"/>
    <mergeCell ref="AD35:AE35"/>
    <mergeCell ref="U27:AH27"/>
    <mergeCell ref="AD30:AE30"/>
    <mergeCell ref="AD31:AE31"/>
    <mergeCell ref="AD32:AE32"/>
    <mergeCell ref="AD33:AE33"/>
    <mergeCell ref="AD34:AE34"/>
    <mergeCell ref="R19:S19"/>
    <mergeCell ref="R3:S3"/>
    <mergeCell ref="R2:S2"/>
    <mergeCell ref="T30:U30"/>
    <mergeCell ref="Y30:Z30"/>
    <mergeCell ref="B53:C53"/>
    <mergeCell ref="N6:O6"/>
    <mergeCell ref="R6:S6"/>
    <mergeCell ref="N4:O4"/>
    <mergeCell ref="R4:S4"/>
    <mergeCell ref="N5:O5"/>
    <mergeCell ref="R5:S5"/>
    <mergeCell ref="R21:S21"/>
    <mergeCell ref="C11:D11"/>
    <mergeCell ref="C12:D12"/>
    <mergeCell ref="C29:D29"/>
    <mergeCell ref="C17:D17"/>
    <mergeCell ref="C18:D18"/>
    <mergeCell ref="C25:D25"/>
    <mergeCell ref="C26:D26"/>
    <mergeCell ref="C27:D27"/>
    <mergeCell ref="C28:D28"/>
    <mergeCell ref="C13:D13"/>
    <mergeCell ref="C14:D14"/>
    <mergeCell ref="C15:D15"/>
    <mergeCell ref="C16:D16"/>
    <mergeCell ref="A1:D1"/>
    <mergeCell ref="N9:O9"/>
    <mergeCell ref="A8:B8"/>
    <mergeCell ref="C9:D9"/>
    <mergeCell ref="C10:D10"/>
    <mergeCell ref="C8:D8"/>
    <mergeCell ref="L9:M9"/>
    <mergeCell ref="L10:M10"/>
    <mergeCell ref="N1:O1"/>
    <mergeCell ref="N7:O7"/>
    <mergeCell ref="N8:O8"/>
    <mergeCell ref="F2:I2"/>
    <mergeCell ref="F3:I3"/>
    <mergeCell ref="F4:I4"/>
    <mergeCell ref="F5:I5"/>
    <mergeCell ref="F6:I6"/>
    <mergeCell ref="F1:I1"/>
    <mergeCell ref="L1:M1"/>
    <mergeCell ref="L3:M3"/>
    <mergeCell ref="L4:M4"/>
    <mergeCell ref="L5:M5"/>
    <mergeCell ref="L6:M6"/>
    <mergeCell ref="L7:M7"/>
    <mergeCell ref="L8:M8"/>
    <mergeCell ref="B30:C30"/>
    <mergeCell ref="D30:G30"/>
    <mergeCell ref="I30:J30"/>
    <mergeCell ref="P26:Q26"/>
    <mergeCell ref="P27:Q27"/>
    <mergeCell ref="L11:M11"/>
    <mergeCell ref="L12:M12"/>
    <mergeCell ref="L13:M13"/>
    <mergeCell ref="L14:M14"/>
    <mergeCell ref="L15:M15"/>
  </mergeCells>
  <phoneticPr fontId="17" type="noConversion"/>
  <conditionalFormatting sqref="N16:N17">
    <cfRule type="expression" dxfId="39" priority="4">
      <formula>$N$15="Formula"</formula>
    </cfRule>
  </conditionalFormatting>
  <conditionalFormatting sqref="N18:O23 N24">
    <cfRule type="expression" dxfId="38" priority="17">
      <formula>$N$15="Formula"</formula>
    </cfRule>
  </conditionalFormatting>
  <conditionalFormatting sqref="O17 N25:O25">
    <cfRule type="expression" dxfId="37" priority="18">
      <formula>$N$15="Fabricante"</formula>
    </cfRule>
  </conditionalFormatting>
  <conditionalFormatting sqref="U7:U8 Z7:AC8 AE7:AH8 V15:X16 Z15:AC16">
    <cfRule type="expression" dxfId="36" priority="5">
      <formula>$N$16=3</formula>
    </cfRule>
  </conditionalFormatting>
  <conditionalFormatting sqref="U10 Y10:AA10">
    <cfRule type="expression" dxfId="35" priority="15">
      <formula>$N$26=5</formula>
    </cfRule>
  </conditionalFormatting>
  <conditionalFormatting sqref="U16">
    <cfRule type="expression" dxfId="34" priority="9">
      <formula>$N$26=3</formula>
    </cfRule>
  </conditionalFormatting>
  <conditionalFormatting sqref="U27">
    <cfRule type="expression" dxfId="33" priority="14">
      <formula>$U$27="LISTO, IMPRIMIR REPORTE"</formula>
    </cfRule>
  </conditionalFormatting>
  <conditionalFormatting sqref="U17:X17">
    <cfRule type="expression" dxfId="32" priority="12">
      <formula>$N$26=3</formula>
    </cfRule>
  </conditionalFormatting>
  <conditionalFormatting sqref="W10 AB10 U11:X16 Z11:AC16 R26:S27">
    <cfRule type="expression" dxfId="31" priority="6">
      <formula>$N$15=3</formula>
    </cfRule>
  </conditionalFormatting>
  <conditionalFormatting sqref="W9:AC9">
    <cfRule type="expression" dxfId="30" priority="13">
      <formula>$N$26=3</formula>
    </cfRule>
  </conditionalFormatting>
  <conditionalFormatting sqref="Y8:Z8 U8:U10 Y10:AA10">
    <cfRule type="expression" dxfId="29" priority="16">
      <formula>$N$26=3</formula>
    </cfRule>
  </conditionalFormatting>
  <conditionalFormatting sqref="Y16:Z17">
    <cfRule type="expression" dxfId="28" priority="8">
      <formula>$N$26=3</formula>
    </cfRule>
  </conditionalFormatting>
  <conditionalFormatting sqref="AA17:AC17">
    <cfRule type="expression" dxfId="27" priority="10">
      <formula>$N$26=3</formula>
    </cfRule>
  </conditionalFormatting>
  <conditionalFormatting sqref="AB2 AG2 Z3:AC8 AE3:AH8 W10 AB10 U11:X16 Z11:AC16 O26:S27">
    <cfRule type="expression" dxfId="26" priority="7">
      <formula>$N$15=1</formula>
    </cfRule>
  </conditionalFormatting>
  <conditionalFormatting sqref="AB10 Z11:AC16 S26:S27">
    <cfRule type="expression" dxfId="25" priority="2">
      <formula>$N$15=4</formula>
    </cfRule>
  </conditionalFormatting>
  <conditionalFormatting sqref="AG2 AE3:AH8 W10 AB10 U11:X16 Z11:AC16 P26:S27">
    <cfRule type="expression" dxfId="24" priority="3">
      <formula>$N$15=2</formula>
    </cfRule>
  </conditionalFormatting>
  <dataValidations count="6">
    <dataValidation type="whole" allowBlank="1" showInputMessage="1" showErrorMessage="1" sqref="AC1" xr:uid="{00000000-0002-0000-0000-000000000000}">
      <formula1>1</formula1>
      <formula2>12</formula2>
    </dataValidation>
    <dataValidation type="list" allowBlank="1" showInputMessage="1" showErrorMessage="1" sqref="N4:O4" xr:uid="{00000000-0002-0000-0000-000001000000}">
      <formula1>$A$2:$A$6</formula1>
    </dataValidation>
    <dataValidation type="list" allowBlank="1" showInputMessage="1" showErrorMessage="1" sqref="O11" xr:uid="{00000000-0002-0000-0000-000002000000}">
      <formula1>$A$9:$A$11</formula1>
    </dataValidation>
    <dataValidation type="list" allowBlank="1" showInputMessage="1" showErrorMessage="1" sqref="N15:N16" xr:uid="{00000000-0002-0000-0000-000003000000}">
      <formula1>$A$14:$A$18</formula1>
    </dataValidation>
    <dataValidation type="list" allowBlank="1" showInputMessage="1" showErrorMessage="1" sqref="V1" xr:uid="{00000000-0002-0000-0000-000004000000}">
      <formula1>$A$9:$A$29</formula1>
    </dataValidation>
    <dataValidation type="whole" allowBlank="1" showInputMessage="1" showErrorMessage="1" sqref="S1" xr:uid="{00000000-0002-0000-0000-000005000000}">
      <formula1>1</formula1>
      <formula2>16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2"/>
  <sheetViews>
    <sheetView view="pageBreakPreview" zoomScale="120" zoomScaleNormal="100" zoomScaleSheetLayoutView="120" workbookViewId="0">
      <selection activeCell="I12" sqref="I12:L14"/>
    </sheetView>
  </sheetViews>
  <sheetFormatPr baseColWidth="10" defaultColWidth="0" defaultRowHeight="0" customHeight="1" zeroHeight="1" x14ac:dyDescent="0.3"/>
  <cols>
    <col min="1" max="2" width="2.54296875" style="28" customWidth="1"/>
    <col min="3" max="3" width="11.54296875" style="28" customWidth="1"/>
    <col min="4" max="4" width="4.453125" style="28" customWidth="1"/>
    <col min="5" max="5" width="4.81640625" style="28" customWidth="1"/>
    <col min="6" max="6" width="5.54296875" style="28" customWidth="1"/>
    <col min="7" max="7" width="12.81640625" style="28" customWidth="1"/>
    <col min="8" max="8" width="8" style="28" customWidth="1"/>
    <col min="9" max="9" width="7.453125" style="28" customWidth="1"/>
    <col min="10" max="10" width="14.453125" style="28" customWidth="1"/>
    <col min="11" max="11" width="15.453125" style="28" customWidth="1"/>
    <col min="12" max="12" width="15.54296875" style="28" customWidth="1"/>
    <col min="13" max="13" width="2.81640625" style="28" customWidth="1"/>
    <col min="14" max="14" width="0.54296875" style="28" customWidth="1"/>
    <col min="15" max="33" width="2.81640625" style="28" hidden="1" customWidth="1"/>
    <col min="34" max="37" width="11.453125" style="28" hidden="1" customWidth="1"/>
    <col min="38" max="38" width="2.81640625" style="28" hidden="1" customWidth="1"/>
    <col min="39" max="16384" width="11.453125" style="28" hidden="1"/>
  </cols>
  <sheetData>
    <row r="1" spans="2:12" s="8" customFormat="1" ht="12.5" x14ac:dyDescent="0.3"/>
    <row r="2" spans="2:12" s="8" customFormat="1" ht="12.5" x14ac:dyDescent="0.3">
      <c r="D2" s="8" t="s">
        <v>170</v>
      </c>
    </row>
    <row r="3" spans="2:12" s="8" customFormat="1" ht="12.5" x14ac:dyDescent="0.3"/>
    <row r="4" spans="2:12" s="8" customFormat="1" ht="12.5" x14ac:dyDescent="0.3">
      <c r="D4" s="9" t="s">
        <v>5</v>
      </c>
      <c r="J4" s="9" t="s">
        <v>36</v>
      </c>
      <c r="L4" s="10" t="str">
        <f>CONCATENATE("0D-12",TEXT('datos crudos'!N3,"00"),"-",TEXT('datos crudos'!O3,"0000"),":002")</f>
        <v>0D-1226-0000:002</v>
      </c>
    </row>
    <row r="5" spans="2:12" s="8" customFormat="1" ht="12.5" x14ac:dyDescent="0.3">
      <c r="J5" s="9" t="s">
        <v>43</v>
      </c>
      <c r="L5" s="11">
        <f>'datos crudos'!N1</f>
        <v>0</v>
      </c>
    </row>
    <row r="6" spans="2:12" s="8" customFormat="1" ht="12.5" x14ac:dyDescent="0.3">
      <c r="B6" s="9" t="s">
        <v>34</v>
      </c>
    </row>
    <row r="7" spans="2:12" s="8" customFormat="1" ht="13" thickBot="1" x14ac:dyDescent="0.35">
      <c r="B7" s="120" t="s">
        <v>1948</v>
      </c>
    </row>
    <row r="8" spans="2:12" s="8" customFormat="1" ht="9.75" customHeight="1" thickTop="1" x14ac:dyDescent="0.3"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2:12" s="8" customFormat="1" ht="12.5" x14ac:dyDescent="0.3">
      <c r="C9" s="9" t="s">
        <v>171</v>
      </c>
    </row>
    <row r="10" spans="2:12" s="8" customFormat="1" ht="3.75" customHeight="1" x14ac:dyDescent="0.3">
      <c r="C10" s="9"/>
    </row>
    <row r="11" spans="2:12" s="8" customFormat="1" ht="12.5" x14ac:dyDescent="0.3">
      <c r="B11" s="9" t="s">
        <v>36</v>
      </c>
      <c r="F11" s="8">
        <f>'datos crudos'!N5</f>
        <v>0</v>
      </c>
    </row>
    <row r="12" spans="2:12" s="8" customFormat="1" ht="12.5" x14ac:dyDescent="0.3">
      <c r="B12" s="9" t="s">
        <v>35</v>
      </c>
      <c r="F12" s="8" t="str">
        <f>'datos crudos'!N6</f>
        <v/>
      </c>
      <c r="I12" s="248" t="e">
        <f ca="1">IF(L22&lt;L23,"NO IMPRIMIR, LA FECHA DE CALIBRACIÓN DEL PATRÓN ESTA VENCIDA",)</f>
        <v>#N/A</v>
      </c>
      <c r="J12" s="248"/>
      <c r="K12" s="248"/>
      <c r="L12" s="248"/>
    </row>
    <row r="13" spans="2:12" s="8" customFormat="1" ht="12.5" x14ac:dyDescent="0.3">
      <c r="B13" s="68" t="s">
        <v>73</v>
      </c>
      <c r="F13" s="8" t="str">
        <f>'datos crudos'!N7</f>
        <v/>
      </c>
      <c r="I13" s="248"/>
      <c r="J13" s="248"/>
      <c r="K13" s="248"/>
      <c r="L13" s="248"/>
    </row>
    <row r="14" spans="2:12" s="8" customFormat="1" ht="12.5" x14ac:dyDescent="0.3">
      <c r="B14" s="9" t="s">
        <v>123</v>
      </c>
      <c r="F14" s="32" t="str">
        <f>CONCATENATE('datos crudos'!N11," ","a"," ",'datos crudos'!N12,'datos crudos'!O13)</f>
        <v xml:space="preserve"> a °C</v>
      </c>
      <c r="G14" s="118"/>
      <c r="I14" s="248"/>
      <c r="J14" s="248"/>
      <c r="K14" s="248"/>
      <c r="L14" s="248"/>
    </row>
    <row r="15" spans="2:12" s="8" customFormat="1" ht="12.5" x14ac:dyDescent="0.3">
      <c r="B15" s="9" t="s">
        <v>38</v>
      </c>
      <c r="F15" s="118" t="str">
        <f>'datos crudos'!N8</f>
        <v/>
      </c>
      <c r="G15" s="118"/>
    </row>
    <row r="16" spans="2:12" s="8" customFormat="1" ht="12.5" x14ac:dyDescent="0.3">
      <c r="B16" s="68" t="s">
        <v>69</v>
      </c>
      <c r="E16" s="119"/>
      <c r="F16" s="118" t="str">
        <f>'datos crudos'!N9</f>
        <v/>
      </c>
      <c r="G16" s="119"/>
    </row>
    <row r="17" spans="2:12" s="8" customFormat="1" ht="12.75" customHeight="1" x14ac:dyDescent="0.3">
      <c r="B17" s="9" t="s">
        <v>37</v>
      </c>
      <c r="C17" s="9"/>
      <c r="F17" s="98">
        <f>'datos crudos'!N17</f>
        <v>0</v>
      </c>
      <c r="G17" s="32" t="str">
        <f>'datos crudos'!O12</f>
        <v>°C</v>
      </c>
    </row>
    <row r="18" spans="2:12" s="8" customFormat="1" ht="12" customHeight="1" x14ac:dyDescent="0.3"/>
    <row r="19" spans="2:12" s="8" customFormat="1" ht="12.5" x14ac:dyDescent="0.3">
      <c r="B19" s="9" t="s">
        <v>172</v>
      </c>
    </row>
    <row r="20" spans="2:12" s="8" customFormat="1" ht="4.5" customHeight="1" x14ac:dyDescent="0.3">
      <c r="B20" s="9"/>
    </row>
    <row r="21" spans="2:12" s="8" customFormat="1" ht="12.5" x14ac:dyDescent="0.3">
      <c r="B21" s="9" t="s">
        <v>36</v>
      </c>
      <c r="F21" s="117" t="e">
        <f>VLOOKUP('datos crudos'!$S$1,'datos crudos'!$A$31:$J$53,2,FALSE)</f>
        <v>#N/A</v>
      </c>
      <c r="G21" s="117"/>
      <c r="K21" s="15" t="s">
        <v>39</v>
      </c>
      <c r="L21" s="14" t="e">
        <f>VLOOKUP('datos crudos'!$S$1,'datos crudos'!$A$31:$J$53,9,FALSE)</f>
        <v>#N/A</v>
      </c>
    </row>
    <row r="22" spans="2:12" s="8" customFormat="1" ht="12.5" x14ac:dyDescent="0.3">
      <c r="B22" s="9" t="s">
        <v>35</v>
      </c>
      <c r="F22" s="117" t="e">
        <f>VLOOKUP('datos crudos'!$S$1,'datos crudos'!$A$31:$J$53,4,FALSE)</f>
        <v>#N/A</v>
      </c>
      <c r="G22" s="117"/>
      <c r="K22" s="15" t="s">
        <v>40</v>
      </c>
      <c r="L22" s="16" t="e">
        <f>VLOOKUP('datos crudos'!$S$1,'datos crudos'!$A$31:$J$53,8,FALSE)</f>
        <v>#N/A</v>
      </c>
    </row>
    <row r="23" spans="2:12" s="8" customFormat="1" ht="9" customHeight="1" x14ac:dyDescent="0.3">
      <c r="B23" s="9"/>
      <c r="E23" s="14"/>
      <c r="F23" s="14"/>
      <c r="G23" s="14"/>
      <c r="I23" s="9"/>
      <c r="K23" s="16"/>
      <c r="L23" s="187">
        <f ca="1">TODAY()</f>
        <v>46253</v>
      </c>
    </row>
    <row r="24" spans="2:12" s="8" customFormat="1" ht="11.25" customHeight="1" x14ac:dyDescent="0.3"/>
    <row r="25" spans="2:12" s="8" customFormat="1" ht="12.5" x14ac:dyDescent="0.3">
      <c r="B25" s="9" t="s">
        <v>173</v>
      </c>
    </row>
    <row r="26" spans="2:12" s="8" customFormat="1" ht="4.5" customHeight="1" x14ac:dyDescent="0.3">
      <c r="B26" s="9"/>
    </row>
    <row r="27" spans="2:12" s="8" customFormat="1" ht="12.5" x14ac:dyDescent="0.3">
      <c r="B27" s="8" t="s">
        <v>42</v>
      </c>
      <c r="G27" s="17" t="e">
        <f>AVERAGE('datos crudos'!R23:S23)</f>
        <v>#DIV/0!</v>
      </c>
      <c r="H27" s="32" t="s">
        <v>65</v>
      </c>
      <c r="I27" s="249" t="s">
        <v>41</v>
      </c>
      <c r="J27" s="249"/>
      <c r="K27" s="13" t="e">
        <f>CONCATENATE(AVERAGE('datos crudos'!R24:S24),"% HR")</f>
        <v>#DIV/0!</v>
      </c>
    </row>
    <row r="28" spans="2:12" s="8" customFormat="1" ht="8.25" customHeight="1" x14ac:dyDescent="0.3">
      <c r="G28" s="10"/>
      <c r="J28" s="17"/>
      <c r="K28" s="10"/>
    </row>
    <row r="29" spans="2:12" s="8" customFormat="1" ht="12.5" x14ac:dyDescent="0.3"/>
    <row r="30" spans="2:12" s="8" customFormat="1" ht="12.5" x14ac:dyDescent="0.3">
      <c r="B30" s="9" t="s">
        <v>174</v>
      </c>
    </row>
    <row r="31" spans="2:12" s="8" customFormat="1" ht="12.5" x14ac:dyDescent="0.3">
      <c r="C31" s="9"/>
    </row>
    <row r="32" spans="2:12" s="8" customFormat="1" ht="26.25" customHeight="1" x14ac:dyDescent="0.3">
      <c r="E32" s="250" t="s">
        <v>23</v>
      </c>
      <c r="F32" s="251"/>
      <c r="G32" s="18" t="s">
        <v>45</v>
      </c>
      <c r="H32" s="246" t="s">
        <v>46</v>
      </c>
      <c r="I32" s="246"/>
      <c r="J32" s="19" t="s">
        <v>24</v>
      </c>
      <c r="K32" s="18" t="s">
        <v>25</v>
      </c>
    </row>
    <row r="33" spans="2:13" s="8" customFormat="1" ht="15" customHeight="1" x14ac:dyDescent="0.3">
      <c r="E33" s="252"/>
      <c r="F33" s="253"/>
      <c r="G33" s="121" t="str">
        <f>'datos crudos'!O11</f>
        <v>°C</v>
      </c>
      <c r="H33" s="247" t="str">
        <f>G33</f>
        <v>°C</v>
      </c>
      <c r="I33" s="247"/>
      <c r="J33" s="121" t="str">
        <f>G33</f>
        <v>°C</v>
      </c>
      <c r="K33" s="121" t="str">
        <f>G33</f>
        <v>°C</v>
      </c>
    </row>
    <row r="34" spans="2:13" s="8" customFormat="1" ht="17.149999999999999" customHeight="1" x14ac:dyDescent="0.3">
      <c r="E34" s="237">
        <v>1</v>
      </c>
      <c r="F34" s="238"/>
      <c r="G34" s="127" t="e">
        <f>FIXED(AVERAGE('datos crudos'!V4:V8),'datos crudos'!$O$24,TRUE)</f>
        <v>#DIV/0!</v>
      </c>
      <c r="H34" s="239" t="e">
        <f>FIXED(AVERAGE('datos crudos'!X4:X8),'datos crudos'!$O$24,TRUE)</f>
        <v>#DIV/0!</v>
      </c>
      <c r="I34" s="239" t="e">
        <f>AVERAGE(#REF!,#REF!,#REF!,#REF!)</f>
        <v>#REF!</v>
      </c>
      <c r="J34" s="31" t="e">
        <f>FIXED(G34-H34,'datos crudos'!$O$24,TRUE)</f>
        <v>#DIV/0!</v>
      </c>
      <c r="K34" s="31" t="e">
        <f>FIXED('datos crudos'!AG31,'datos crudos'!$O$24,TRUE)</f>
        <v>#VALUE!</v>
      </c>
      <c r="L34" s="29" t="e">
        <f>ABS(J34)</f>
        <v>#DIV/0!</v>
      </c>
    </row>
    <row r="35" spans="2:13" s="8" customFormat="1" ht="17.149999999999999" customHeight="1" x14ac:dyDescent="0.3">
      <c r="E35" s="237">
        <v>2</v>
      </c>
      <c r="F35" s="238"/>
      <c r="G35" s="127" t="e">
        <f>FIXED(AVERAGE('datos crudos'!AA4:AA8),'datos crudos'!$O$24,TRUE)</f>
        <v>#DIV/0!</v>
      </c>
      <c r="H35" s="239" t="e">
        <f>FIXED(AVERAGE('datos crudos'!AC4:AC8),'datos crudos'!$O$24,TRUE)</f>
        <v>#DIV/0!</v>
      </c>
      <c r="I35" s="239" t="e">
        <f>AVERAGE(#REF!,#REF!,#REF!,#REF!)</f>
        <v>#REF!</v>
      </c>
      <c r="J35" s="31" t="e">
        <f>FIXED(G35-H35,'datos crudos'!$O$24,TRUE)</f>
        <v>#DIV/0!</v>
      </c>
      <c r="K35" s="31" t="e">
        <f>FIXED('datos crudos'!AG32,'datos crudos'!$O$24,TRUE)</f>
        <v>#VALUE!</v>
      </c>
      <c r="L35" s="29" t="e">
        <f>ABS(J35)</f>
        <v>#DIV/0!</v>
      </c>
    </row>
    <row r="36" spans="2:13" s="8" customFormat="1" ht="17.149999999999999" customHeight="1" x14ac:dyDescent="0.3">
      <c r="E36" s="237">
        <v>3</v>
      </c>
      <c r="F36" s="238"/>
      <c r="G36" s="127" t="e">
        <f>FIXED(AVERAGE('datos crudos'!AF4:AF8),'datos crudos'!$O$24,TRUE)</f>
        <v>#DIV/0!</v>
      </c>
      <c r="H36" s="239" t="e">
        <f>FIXED(AVERAGE('datos crudos'!AH4:AH8),'datos crudos'!$O$24,TRUE)</f>
        <v>#DIV/0!</v>
      </c>
      <c r="I36" s="239" t="e">
        <f>AVERAGE(#REF!,#REF!,#REF!,#REF!)</f>
        <v>#REF!</v>
      </c>
      <c r="J36" s="31" t="e">
        <f>FIXED(G36-H36,'datos crudos'!$O$24,TRUE)</f>
        <v>#DIV/0!</v>
      </c>
      <c r="K36" s="31" t="e">
        <f>FIXED('datos crudos'!AG33,'datos crudos'!$O$24,TRUE)</f>
        <v>#VALUE!</v>
      </c>
      <c r="L36" s="29" t="e">
        <f>ABS(J36)</f>
        <v>#DIV/0!</v>
      </c>
    </row>
    <row r="37" spans="2:13" s="8" customFormat="1" ht="17.149999999999999" customHeight="1" x14ac:dyDescent="0.3">
      <c r="E37" s="237">
        <v>4</v>
      </c>
      <c r="F37" s="238"/>
      <c r="G37" s="127" t="e">
        <f>FIXED(AVERAGE('datos crudos'!V12:V16),'datos crudos'!O24,TRUE)</f>
        <v>#DIV/0!</v>
      </c>
      <c r="H37" s="239" t="e">
        <f>FIXED(AVERAGE('datos crudos'!X12:X16),'datos crudos'!$O$24,TRUE)</f>
        <v>#DIV/0!</v>
      </c>
      <c r="I37" s="239" t="e">
        <f>AVERAGE(#REF!,#REF!,#REF!,#REF!)</f>
        <v>#REF!</v>
      </c>
      <c r="J37" s="31" t="e">
        <f>FIXED(G37-H37,'datos crudos'!$O$24,TRUE)</f>
        <v>#DIV/0!</v>
      </c>
      <c r="K37" s="31" t="e">
        <f>FIXED('datos crudos'!AG34,'datos crudos'!$O$24,TRUE)</f>
        <v>#VALUE!</v>
      </c>
      <c r="L37" s="29" t="e">
        <f>ABS(J37)</f>
        <v>#DIV/0!</v>
      </c>
    </row>
    <row r="38" spans="2:13" s="8" customFormat="1" ht="17.149999999999999" customHeight="1" x14ac:dyDescent="0.3">
      <c r="E38" s="237">
        <v>5</v>
      </c>
      <c r="F38" s="238"/>
      <c r="G38" s="127" t="e">
        <f>FIXED(AVERAGE('datos crudos'!AA12:AA16),'datos crudos'!O24,TRUE)</f>
        <v>#DIV/0!</v>
      </c>
      <c r="H38" s="239" t="e">
        <f>FIXED(AVERAGE('datos crudos'!AC12:AC16),'datos crudos'!$O$24,TRUE)</f>
        <v>#DIV/0!</v>
      </c>
      <c r="I38" s="239" t="e">
        <f>AVERAGE(#REF!,#REF!,#REF!,#REF!)</f>
        <v>#REF!</v>
      </c>
      <c r="J38" s="31" t="e">
        <f>FIXED(G38-H38,'datos crudos'!$O$24,TRUE)</f>
        <v>#DIV/0!</v>
      </c>
      <c r="K38" s="31" t="e">
        <f>FIXED('datos crudos'!AG35,'datos crudos'!$O$24,TRUE)</f>
        <v>#VALUE!</v>
      </c>
      <c r="L38" s="29" t="e">
        <f>ABS(J38)</f>
        <v>#DIV/0!</v>
      </c>
    </row>
    <row r="39" spans="2:13" s="8" customFormat="1" ht="12.5" x14ac:dyDescent="0.3">
      <c r="L39" s="114" t="e">
        <f>IF('datos crudos'!N15=1,'Reporte (2)'!L34,IF('datos crudos'!N15=2,MAX('Reporte (2)'!L34:L35),IF('datos crudos'!N15=3,MAX('Reporte (2)'!L34:L36),IF('datos crudos'!N15=4,MAX('Reporte (2)'!L34:L37),MAX('Reporte (2)'!L34:L38)))))</f>
        <v>#DIV/0!</v>
      </c>
    </row>
    <row r="40" spans="2:13" s="8" customFormat="1" ht="12.5" x14ac:dyDescent="0.3"/>
    <row r="41" spans="2:13" s="8" customFormat="1" ht="12.5" x14ac:dyDescent="0.3">
      <c r="G41" s="29" t="b">
        <f>IF(AND('datos crudos'!N26=3),ABS(MAX('Reporte (2)'!L34:L36)),IF(AND('datos crudos'!N26=5),ABS(MAX('Reporte (2)'!L34:L38)),IF(AND('datos crudos'!N26=8),ABS(MAX(L34:L38)))))</f>
        <v>0</v>
      </c>
    </row>
    <row r="42" spans="2:13" s="8" customFormat="1" ht="12.5" x14ac:dyDescent="0.3">
      <c r="E42" s="17" t="s">
        <v>47</v>
      </c>
      <c r="F42" s="17"/>
      <c r="G42" s="20" t="e">
        <f>IF(L39&lt;=F17,"CUMPLE","NO CUMPLE")</f>
        <v>#DIV/0!</v>
      </c>
      <c r="J42" s="17" t="s">
        <v>48</v>
      </c>
      <c r="K42" s="21" t="e">
        <f>IF(G42="No cumple","RECHAZADO",IF(G42="cumple",EDATE('datos crudos'!N1,'datos crudos'!N10)))</f>
        <v>#DIV/0!</v>
      </c>
    </row>
    <row r="43" spans="2:13" s="8" customFormat="1" ht="12.5" x14ac:dyDescent="0.3">
      <c r="E43" s="17"/>
      <c r="F43" s="17"/>
      <c r="G43" s="22"/>
      <c r="J43" s="17"/>
      <c r="K43" s="23"/>
    </row>
    <row r="44" spans="2:13" s="8" customFormat="1" ht="12.5" x14ac:dyDescent="0.3"/>
    <row r="45" spans="2:13" s="8" customFormat="1" ht="12.5" x14ac:dyDescent="0.3">
      <c r="C45" s="9" t="s">
        <v>175</v>
      </c>
    </row>
    <row r="46" spans="2:13" s="8" customFormat="1" ht="4.5" customHeight="1" x14ac:dyDescent="0.3"/>
    <row r="47" spans="2:13" s="8" customFormat="1" ht="12.5" x14ac:dyDescent="0.3">
      <c r="B47" s="115" t="s">
        <v>120</v>
      </c>
      <c r="C47" s="116" t="str">
        <f>IF('datos crudos'!N15=1,"La calibración se realizó de acuerdo al procedimiento SOP-000042885, Calibración general de instrumentos de medición","÷ La calibración se realizó de acuerdo al procedimiento SOP-000026896, Calibración de instrumentos medidores de temperatura")</f>
        <v>÷ La calibración se realizó de acuerdo al procedimiento SOP-000026896, Calibración de instrumentos medidores de temperatura</v>
      </c>
    </row>
    <row r="48" spans="2:13" s="8" customFormat="1" ht="24" customHeight="1" x14ac:dyDescent="0.3">
      <c r="B48" s="115" t="s">
        <v>120</v>
      </c>
      <c r="C48" s="236" t="s">
        <v>121</v>
      </c>
      <c r="D48" s="236"/>
      <c r="E48" s="236"/>
      <c r="F48" s="236"/>
      <c r="G48" s="236"/>
      <c r="H48" s="236"/>
      <c r="I48" s="236"/>
      <c r="J48" s="236"/>
      <c r="K48" s="236"/>
      <c r="L48" s="236"/>
      <c r="M48" s="116"/>
    </row>
    <row r="49" spans="1:31" s="8" customFormat="1" ht="12.5" x14ac:dyDescent="0.3">
      <c r="B49" s="115" t="s">
        <v>120</v>
      </c>
      <c r="C49" s="243" t="s">
        <v>122</v>
      </c>
      <c r="D49" s="244"/>
      <c r="E49" s="244"/>
      <c r="F49" s="244"/>
      <c r="G49" s="244"/>
      <c r="H49" s="244"/>
      <c r="I49" s="244"/>
      <c r="J49" s="244"/>
      <c r="K49" s="244"/>
      <c r="L49" s="244"/>
    </row>
    <row r="50" spans="1:31" s="8" customFormat="1" ht="12.5" x14ac:dyDescent="0.3"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spans="1:31" s="8" customFormat="1" ht="12.5" x14ac:dyDescent="0.3"/>
    <row r="52" spans="1:31" s="8" customFormat="1" ht="5.25" customHeight="1" x14ac:dyDescent="0.3"/>
    <row r="53" spans="1:31" s="8" customFormat="1" ht="12.5" x14ac:dyDescent="0.3">
      <c r="C53" s="9" t="s">
        <v>176</v>
      </c>
    </row>
    <row r="54" spans="1:31" s="8" customFormat="1" ht="21.75" customHeight="1" x14ac:dyDescent="0.3">
      <c r="C54" s="25" t="s">
        <v>49</v>
      </c>
      <c r="D54" s="237" t="s">
        <v>4</v>
      </c>
      <c r="E54" s="245"/>
      <c r="F54" s="245"/>
      <c r="G54" s="238"/>
      <c r="H54" s="237" t="s">
        <v>50</v>
      </c>
      <c r="I54" s="245"/>
      <c r="J54" s="238"/>
      <c r="K54" s="25" t="s">
        <v>3</v>
      </c>
      <c r="L54" s="25" t="s">
        <v>2</v>
      </c>
    </row>
    <row r="55" spans="1:31" s="8" customFormat="1" ht="26.25" customHeight="1" x14ac:dyDescent="0.3">
      <c r="C55" s="25" t="s">
        <v>9</v>
      </c>
      <c r="D55" s="240">
        <f>'datos crudos'!N4</f>
        <v>0</v>
      </c>
      <c r="E55" s="241"/>
      <c r="F55" s="241"/>
      <c r="G55" s="242"/>
      <c r="H55" s="240" t="e">
        <f>VLOOKUP('datos crudos'!N4,'datos crudos'!A2:I6,6,FALSE)</f>
        <v>#N/A</v>
      </c>
      <c r="I55" s="241"/>
      <c r="J55" s="242"/>
      <c r="K55" s="26"/>
      <c r="L55" s="26"/>
    </row>
    <row r="56" spans="1:31" s="8" customFormat="1" ht="26.25" customHeight="1" x14ac:dyDescent="0.3">
      <c r="C56" s="25" t="s">
        <v>51</v>
      </c>
      <c r="D56" s="240" t="str">
        <f>'datos crudos'!A6</f>
        <v>Ricardo Israel Padua Téllez</v>
      </c>
      <c r="E56" s="241"/>
      <c r="F56" s="241"/>
      <c r="G56" s="242"/>
      <c r="H56" s="240" t="str">
        <f>'datos crudos'!F6</f>
        <v>Supervisor de Calibración</v>
      </c>
      <c r="I56" s="241"/>
      <c r="J56" s="242"/>
      <c r="K56" s="26"/>
      <c r="L56" s="26"/>
    </row>
    <row r="57" spans="1:31" s="8" customFormat="1" ht="12.5" x14ac:dyDescent="0.3"/>
    <row r="58" spans="1:31" s="8" customFormat="1" ht="12.5" x14ac:dyDescent="0.3"/>
    <row r="59" spans="1:31" s="8" customFormat="1" ht="12.5" x14ac:dyDescent="0.3"/>
    <row r="60" spans="1:31" s="8" customFormat="1" ht="12.5" x14ac:dyDescent="0.3"/>
    <row r="61" spans="1:31" ht="12.5" hidden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spans="1:31" ht="12.5" x14ac:dyDescent="0.3"/>
  </sheetData>
  <sheetProtection formatRows="0" insertRows="0" deleteRows="0" selectLockedCells="1"/>
  <mergeCells count="23">
    <mergeCell ref="I12:L14"/>
    <mergeCell ref="I27:J27"/>
    <mergeCell ref="E32:F33"/>
    <mergeCell ref="E34:F34"/>
    <mergeCell ref="E35:F35"/>
    <mergeCell ref="E36:F36"/>
    <mergeCell ref="H32:I32"/>
    <mergeCell ref="H33:I33"/>
    <mergeCell ref="H34:I34"/>
    <mergeCell ref="H35:I35"/>
    <mergeCell ref="H36:I36"/>
    <mergeCell ref="D55:G55"/>
    <mergeCell ref="H55:J55"/>
    <mergeCell ref="D56:G56"/>
    <mergeCell ref="H56:J56"/>
    <mergeCell ref="C49:L49"/>
    <mergeCell ref="D54:G54"/>
    <mergeCell ref="H54:J54"/>
    <mergeCell ref="C48:L48"/>
    <mergeCell ref="E37:F37"/>
    <mergeCell ref="E38:F38"/>
    <mergeCell ref="H37:I37"/>
    <mergeCell ref="H38:I38"/>
  </mergeCells>
  <conditionalFormatting sqref="F22">
    <cfRule type="expression" dxfId="13" priority="9">
      <formula>#REF!="FALTAN DATOS PARA PRUEBA"</formula>
    </cfRule>
  </conditionalFormatting>
  <conditionalFormatting sqref="I12:L14">
    <cfRule type="expression" dxfId="12" priority="1">
      <formula>$L$22&lt;$L$23</formula>
    </cfRule>
  </conditionalFormatting>
  <dataValidations disablePrompts="1" count="1">
    <dataValidation type="list" allowBlank="1" showInputMessage="1" showErrorMessage="1" sqref="T37:AA37" xr:uid="{00000000-0002-0000-0100-000000000000}">
      <formula1>#REF!</formula1>
    </dataValidation>
  </dataValidations>
  <printOptions horizontalCentered="1"/>
  <pageMargins left="0.23622047244094491" right="0.23622047244094491" top="0.19685039370078741" bottom="0.98425196850393704" header="0" footer="0.39370078740157483"/>
  <pageSetup scale="92" orientation="portrait" r:id="rId1"/>
  <headerFooter>
    <oddFooter xml:space="preserve">&amp;L&amp;"Optima,Normal"&amp;8&amp;G
FORM-000039461, Ed. 1
&amp;C&amp;"Optima,Normal"&amp;8Código anterior: NA
&amp;G&amp;R&amp;"Optima,Normal"&amp;8Página &amp;P de &amp;N
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A321722D-9549-48A5-B166-B9B513F0B9F9}">
            <xm:f>'datos crudos'!$U$27="FALTAN DATOS PARA PRUEBA"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E32:K38 L4:L5 F11:F13 F15:F17 E16 F21 L21:L22 G27:H27 K27:L27 G42 K42 C54:L56</xm:sqref>
        </x14:conditionalFormatting>
        <x14:conditionalFormatting xmlns:xm="http://schemas.microsoft.com/office/excel/2006/main">
          <x14:cfRule type="expression" priority="8" id="{8055B724-F280-4876-93D5-25B9F4A00FBA}">
            <xm:f>'datos crudos'!$N$15=1</xm:f>
            <x14:dxf>
              <font>
                <color theme="0"/>
              </font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E35:K35</xm:sqref>
        </x14:conditionalFormatting>
        <x14:conditionalFormatting xmlns:xm="http://schemas.microsoft.com/office/excel/2006/main">
          <x14:cfRule type="expression" priority="4" id="{D4363A03-A984-4192-A1B5-F23E36DB643D}">
            <xm:f>'datos crudos'!$N$15=2</xm:f>
            <x14:dxf>
              <font>
                <color theme="0"/>
              </font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E36:K36</xm:sqref>
        </x14:conditionalFormatting>
        <x14:conditionalFormatting xmlns:xm="http://schemas.microsoft.com/office/excel/2006/main">
          <x14:cfRule type="expression" priority="7" id="{9DAA1F24-E171-47D7-A6F7-6C73E0E15351}">
            <xm:f>'datos crudos'!$N$15=1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E36:K38</xm:sqref>
        </x14:conditionalFormatting>
        <x14:conditionalFormatting xmlns:xm="http://schemas.microsoft.com/office/excel/2006/main">
          <x14:cfRule type="expression" priority="6" id="{6C5D9BD7-F465-4409-AB87-B37E7C0B78D6}">
            <xm:f>'datos crudos'!$N$15=3</xm:f>
            <x14:dxf>
              <font>
                <color theme="0"/>
              </font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14:cfRule type="expression" priority="14" id="{60E72CF4-D64A-4195-930D-CD6D800259C8}">
            <xm:f>'datos crudos'!$N$26=3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E37:K37</xm:sqref>
        </x14:conditionalFormatting>
        <x14:conditionalFormatting xmlns:xm="http://schemas.microsoft.com/office/excel/2006/main">
          <x14:cfRule type="expression" priority="3" id="{ED08031C-AAFC-4F00-A64D-E80F190FD490}">
            <xm:f>'datos crudos'!$N$15=2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E37:K38</xm:sqref>
        </x14:conditionalFormatting>
        <x14:conditionalFormatting xmlns:xm="http://schemas.microsoft.com/office/excel/2006/main">
          <x14:cfRule type="expression" priority="2" id="{3E88F733-D127-4FE2-96D8-46644EA31B67}">
            <xm:f>'datos crudos'!$N$15=4</xm:f>
            <x14:dxf>
              <font>
                <color theme="0"/>
              </font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14:cfRule type="expression" priority="5" id="{6E5C05CD-D7B0-4E50-85FE-742C7DBE3F7B}">
            <xm:f>'datos crudos'!$N$15=3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008E1B8C-4A6A-4C4A-8466-54A3B63F7E2B}">
            <xm:f>'datos crudos'!$N$26=3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E38:K38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96"/>
  <sheetViews>
    <sheetView topLeftCell="M1" zoomScale="80" zoomScaleNormal="80" workbookViewId="0">
      <selection activeCell="C22" sqref="C22"/>
    </sheetView>
  </sheetViews>
  <sheetFormatPr baseColWidth="10" defaultColWidth="11.453125" defaultRowHeight="11.5" x14ac:dyDescent="0.25"/>
  <cols>
    <col min="1" max="1" width="12.453125" style="132" bestFit="1" customWidth="1"/>
    <col min="2" max="2" width="15.453125" style="132" bestFit="1" customWidth="1"/>
    <col min="3" max="3" width="14" style="132" customWidth="1"/>
    <col min="4" max="4" width="14.453125" style="132" customWidth="1"/>
    <col min="5" max="6" width="11.453125" style="132" customWidth="1"/>
    <col min="7" max="7" width="14.453125" style="132" customWidth="1"/>
    <col min="8" max="9" width="11.453125" style="132" customWidth="1"/>
    <col min="10" max="10" width="14.453125" style="132" customWidth="1"/>
    <col min="11" max="12" width="11.453125" style="132" customWidth="1"/>
    <col min="13" max="13" width="14.453125" style="132" customWidth="1"/>
    <col min="14" max="14" width="17.1796875" style="132" customWidth="1"/>
    <col min="15" max="15" width="13.453125" style="132" customWidth="1"/>
    <col min="16" max="16" width="14.453125" style="132" customWidth="1"/>
    <col min="17" max="17" width="13.453125" style="132" hidden="1" customWidth="1"/>
    <col min="18" max="18" width="13.81640625" style="132" hidden="1" customWidth="1"/>
    <col min="19" max="19" width="14.453125" style="132" hidden="1" customWidth="1"/>
    <col min="20" max="20" width="17.1796875" style="132" customWidth="1"/>
    <col min="21" max="21" width="11.453125" style="132" customWidth="1"/>
    <col min="22" max="22" width="14.453125" style="132" customWidth="1"/>
    <col min="23" max="23" width="13.81640625" style="132" hidden="1" customWidth="1"/>
    <col min="24" max="24" width="11.453125" style="132" hidden="1" customWidth="1"/>
    <col min="25" max="25" width="14.453125" style="132" hidden="1" customWidth="1"/>
    <col min="26" max="26" width="11.453125" style="132"/>
    <col min="27" max="27" width="15" style="132" bestFit="1" customWidth="1"/>
    <col min="28" max="28" width="14.453125" style="132" customWidth="1"/>
    <col min="29" max="29" width="14.453125" style="132" bestFit="1" customWidth="1"/>
    <col min="30" max="30" width="15" style="132" bestFit="1" customWidth="1"/>
    <col min="31" max="31" width="19.1796875" style="132" customWidth="1"/>
    <col min="32" max="32" width="13.453125" style="132" customWidth="1"/>
    <col min="33" max="33" width="15" style="132" bestFit="1" customWidth="1"/>
    <col min="34" max="34" width="14.453125" style="132" customWidth="1"/>
    <col min="35" max="35" width="13.453125" style="132" customWidth="1"/>
    <col min="36" max="36" width="15" style="132" bestFit="1" customWidth="1"/>
    <col min="37" max="37" width="14.453125" style="132" customWidth="1"/>
    <col min="38" max="38" width="13.453125" style="132" customWidth="1"/>
    <col min="39" max="39" width="11.453125" style="132"/>
    <col min="40" max="40" width="14.453125" style="132" customWidth="1"/>
    <col min="41" max="41" width="13.453125" style="132" customWidth="1"/>
    <col min="42" max="42" width="11.453125" style="132"/>
    <col min="43" max="43" width="14.453125" style="132" customWidth="1"/>
    <col min="44" max="44" width="13.453125" style="132" customWidth="1"/>
    <col min="45" max="45" width="11.453125" style="132"/>
    <col min="46" max="46" width="14.453125" style="132" customWidth="1"/>
    <col min="47" max="47" width="13.453125" style="132" customWidth="1"/>
    <col min="48" max="48" width="11.453125" style="132"/>
    <col min="49" max="49" width="14.453125" style="132" customWidth="1"/>
    <col min="50" max="50" width="13.453125" style="132" customWidth="1"/>
    <col min="51" max="51" width="11.453125" style="132"/>
    <col min="52" max="52" width="14.453125" style="132" customWidth="1"/>
    <col min="53" max="16384" width="11.453125" style="132"/>
  </cols>
  <sheetData>
    <row r="1" spans="1:59" ht="12" x14ac:dyDescent="0.25">
      <c r="A1" s="131">
        <f ca="1">TODAY()</f>
        <v>46253</v>
      </c>
      <c r="C1" s="133"/>
      <c r="D1" s="134"/>
      <c r="E1" s="134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5"/>
      <c r="R1" s="135"/>
      <c r="S1" s="135"/>
      <c r="T1" s="136"/>
      <c r="U1" s="136"/>
      <c r="V1" s="136"/>
      <c r="W1" s="136"/>
      <c r="X1" s="136"/>
      <c r="Y1" s="136"/>
    </row>
    <row r="2" spans="1:59" ht="12" x14ac:dyDescent="0.25">
      <c r="A2" s="132" t="str">
        <f>'datos crudos'!$O$12</f>
        <v>°C</v>
      </c>
      <c r="C2" s="137"/>
      <c r="D2" s="138"/>
      <c r="E2" s="138"/>
      <c r="F2" s="138"/>
      <c r="G2" s="137"/>
      <c r="H2" s="138"/>
      <c r="I2" s="138"/>
      <c r="J2" s="137"/>
      <c r="K2" s="138"/>
      <c r="L2" s="137"/>
      <c r="M2" s="138"/>
      <c r="N2" s="138"/>
      <c r="O2" s="138"/>
      <c r="P2" s="137"/>
      <c r="Q2" s="137"/>
      <c r="R2" s="137"/>
      <c r="S2" s="137"/>
    </row>
    <row r="3" spans="1:59" ht="12" thickBot="1" x14ac:dyDescent="0.3">
      <c r="A3" s="132" t="s">
        <v>24</v>
      </c>
      <c r="B3" s="132">
        <v>0</v>
      </c>
      <c r="C3" s="132">
        <v>1</v>
      </c>
      <c r="D3" s="132">
        <v>2</v>
      </c>
      <c r="E3" s="132">
        <v>3</v>
      </c>
      <c r="F3" s="132">
        <v>4</v>
      </c>
      <c r="G3" s="132">
        <v>5</v>
      </c>
      <c r="H3" s="132">
        <v>6</v>
      </c>
      <c r="I3" s="132">
        <v>7</v>
      </c>
      <c r="J3" s="132">
        <v>8</v>
      </c>
      <c r="K3" s="132">
        <v>9</v>
      </c>
      <c r="L3" s="132">
        <v>10</v>
      </c>
      <c r="M3" s="132">
        <v>11</v>
      </c>
      <c r="N3" s="132">
        <v>12</v>
      </c>
      <c r="O3" s="132">
        <v>13</v>
      </c>
      <c r="P3" s="132">
        <v>14</v>
      </c>
      <c r="Q3" s="132">
        <v>15</v>
      </c>
      <c r="R3" s="132">
        <v>16</v>
      </c>
      <c r="S3" s="132">
        <v>17</v>
      </c>
      <c r="T3" s="132">
        <v>18</v>
      </c>
      <c r="U3" s="132">
        <v>19</v>
      </c>
      <c r="V3" s="132">
        <v>20</v>
      </c>
      <c r="W3" s="132">
        <v>21</v>
      </c>
      <c r="X3" s="132">
        <v>22</v>
      </c>
      <c r="Y3" s="132">
        <v>23</v>
      </c>
      <c r="Z3" s="132">
        <v>24</v>
      </c>
      <c r="AA3" s="132">
        <v>25</v>
      </c>
      <c r="AB3" s="132">
        <v>26</v>
      </c>
      <c r="AC3" s="132">
        <v>27</v>
      </c>
      <c r="AD3" s="132">
        <v>28</v>
      </c>
      <c r="AE3" s="132">
        <v>29</v>
      </c>
      <c r="AF3" s="132">
        <v>30</v>
      </c>
      <c r="AG3" s="132">
        <v>31</v>
      </c>
      <c r="AH3" s="132">
        <v>32</v>
      </c>
      <c r="AI3" s="132">
        <v>33</v>
      </c>
      <c r="AJ3" s="132">
        <v>34</v>
      </c>
      <c r="AK3" s="132">
        <v>35</v>
      </c>
      <c r="AL3" s="132">
        <v>33</v>
      </c>
      <c r="AM3" s="132">
        <v>34</v>
      </c>
      <c r="AN3" s="132">
        <v>35</v>
      </c>
      <c r="AO3" s="132">
        <v>36</v>
      </c>
      <c r="AP3" s="132">
        <v>37</v>
      </c>
      <c r="AQ3" s="132">
        <v>38</v>
      </c>
      <c r="AR3" s="132">
        <v>39</v>
      </c>
      <c r="AS3" s="132">
        <v>40</v>
      </c>
      <c r="AT3" s="132">
        <v>41</v>
      </c>
      <c r="AU3" s="132">
        <v>42</v>
      </c>
      <c r="AV3" s="132">
        <v>43</v>
      </c>
      <c r="AW3" s="132">
        <v>44</v>
      </c>
      <c r="AX3" s="132">
        <v>45</v>
      </c>
      <c r="AY3" s="132">
        <v>46</v>
      </c>
      <c r="AZ3" s="132">
        <v>47</v>
      </c>
      <c r="BA3" s="132">
        <v>36</v>
      </c>
    </row>
    <row r="4" spans="1:59" x14ac:dyDescent="0.25">
      <c r="A4" s="139" t="s">
        <v>22</v>
      </c>
      <c r="B4" s="254" t="s">
        <v>2380</v>
      </c>
      <c r="C4" s="255"/>
      <c r="D4" s="256"/>
      <c r="E4" s="254" t="s">
        <v>131</v>
      </c>
      <c r="F4" s="255"/>
      <c r="G4" s="256"/>
      <c r="H4" s="254" t="s">
        <v>1554</v>
      </c>
      <c r="I4" s="255"/>
      <c r="J4" s="256"/>
      <c r="K4" s="254" t="s">
        <v>1954</v>
      </c>
      <c r="L4" s="255"/>
      <c r="M4" s="256"/>
      <c r="N4" s="254" t="s">
        <v>1951</v>
      </c>
      <c r="O4" s="255"/>
      <c r="P4" s="256"/>
      <c r="Q4" s="254" t="s">
        <v>88</v>
      </c>
      <c r="R4" s="255"/>
      <c r="S4" s="256"/>
      <c r="T4" s="254" t="s">
        <v>2009</v>
      </c>
      <c r="U4" s="255"/>
      <c r="V4" s="256"/>
      <c r="W4" s="254" t="s">
        <v>53</v>
      </c>
      <c r="X4" s="255"/>
      <c r="Y4" s="256"/>
      <c r="Z4" s="254" t="s">
        <v>1949</v>
      </c>
      <c r="AA4" s="255"/>
      <c r="AB4" s="256"/>
      <c r="AC4" s="254" t="s">
        <v>1949</v>
      </c>
      <c r="AD4" s="255"/>
      <c r="AE4" s="256"/>
      <c r="AF4" s="254" t="s">
        <v>1949</v>
      </c>
      <c r="AG4" s="255"/>
      <c r="AH4" s="256"/>
      <c r="AI4" s="254" t="s">
        <v>1949</v>
      </c>
      <c r="AJ4" s="255"/>
      <c r="AK4" s="256"/>
      <c r="AL4" s="254" t="s">
        <v>1830</v>
      </c>
      <c r="AM4" s="255"/>
      <c r="AN4" s="256"/>
      <c r="AO4" s="254" t="s">
        <v>1955</v>
      </c>
      <c r="AP4" s="255"/>
      <c r="AQ4" s="256"/>
      <c r="AR4" s="254" t="s">
        <v>1955</v>
      </c>
      <c r="AS4" s="255"/>
      <c r="AT4" s="256"/>
      <c r="AU4" s="254" t="s">
        <v>159</v>
      </c>
      <c r="AV4" s="255"/>
      <c r="AW4" s="256"/>
      <c r="AX4" s="254" t="s">
        <v>160</v>
      </c>
      <c r="AY4" s="255"/>
      <c r="AZ4" s="256"/>
    </row>
    <row r="5" spans="1:59" x14ac:dyDescent="0.25">
      <c r="A5" s="140" t="s">
        <v>26</v>
      </c>
      <c r="B5" s="257">
        <v>46539</v>
      </c>
      <c r="C5" s="258"/>
      <c r="D5" s="259"/>
      <c r="E5" s="257">
        <v>45169</v>
      </c>
      <c r="F5" s="258"/>
      <c r="G5" s="259"/>
      <c r="H5" s="257">
        <v>45809</v>
      </c>
      <c r="I5" s="258"/>
      <c r="J5" s="259"/>
      <c r="K5" s="257">
        <v>46235</v>
      </c>
      <c r="L5" s="258"/>
      <c r="M5" s="259"/>
      <c r="N5" s="257">
        <v>46204</v>
      </c>
      <c r="O5" s="260"/>
      <c r="P5" s="261"/>
      <c r="Q5" s="257">
        <v>44621</v>
      </c>
      <c r="R5" s="260"/>
      <c r="S5" s="261"/>
      <c r="T5" s="257">
        <v>46327</v>
      </c>
      <c r="U5" s="260"/>
      <c r="V5" s="261"/>
      <c r="W5" s="257">
        <v>44105</v>
      </c>
      <c r="X5" s="260"/>
      <c r="Y5" s="261"/>
      <c r="Z5" s="257">
        <v>46174</v>
      </c>
      <c r="AA5" s="260"/>
      <c r="AB5" s="261"/>
      <c r="AC5" s="257">
        <v>46174</v>
      </c>
      <c r="AD5" s="260"/>
      <c r="AE5" s="261"/>
      <c r="AF5" s="257">
        <v>46174</v>
      </c>
      <c r="AG5" s="260"/>
      <c r="AH5" s="261"/>
      <c r="AI5" s="257">
        <v>46174</v>
      </c>
      <c r="AJ5" s="260"/>
      <c r="AK5" s="261"/>
      <c r="AL5" s="257">
        <v>45931</v>
      </c>
      <c r="AM5" s="260"/>
      <c r="AN5" s="261"/>
      <c r="AO5" s="257">
        <v>46235</v>
      </c>
      <c r="AP5" s="260"/>
      <c r="AQ5" s="261"/>
      <c r="AR5" s="257">
        <v>46235</v>
      </c>
      <c r="AS5" s="260"/>
      <c r="AT5" s="261"/>
      <c r="AU5" s="257">
        <v>45291</v>
      </c>
      <c r="AV5" s="260"/>
      <c r="AW5" s="261"/>
      <c r="AX5" s="257">
        <v>45291</v>
      </c>
      <c r="AY5" s="260"/>
      <c r="AZ5" s="261"/>
    </row>
    <row r="6" spans="1:59" x14ac:dyDescent="0.25">
      <c r="A6" s="140" t="s">
        <v>0</v>
      </c>
      <c r="B6" s="141"/>
      <c r="C6" s="142" t="s">
        <v>168</v>
      </c>
      <c r="D6" s="143"/>
      <c r="E6" s="141"/>
      <c r="F6" s="142" t="s">
        <v>81</v>
      </c>
      <c r="G6" s="143"/>
      <c r="H6" s="141"/>
      <c r="I6" s="142" t="s">
        <v>1553</v>
      </c>
      <c r="J6" s="143"/>
      <c r="K6" s="141"/>
      <c r="L6" s="142" t="s">
        <v>970</v>
      </c>
      <c r="M6" s="143"/>
      <c r="N6" s="141"/>
      <c r="O6" s="142" t="s">
        <v>644</v>
      </c>
      <c r="P6" s="143"/>
      <c r="Q6" s="141"/>
      <c r="R6" s="142" t="s">
        <v>82</v>
      </c>
      <c r="S6" s="143"/>
      <c r="T6" s="141"/>
      <c r="U6" s="142" t="s">
        <v>2010</v>
      </c>
      <c r="V6" s="143"/>
      <c r="W6" s="141" t="s">
        <v>20</v>
      </c>
      <c r="X6" s="144">
        <v>1000</v>
      </c>
      <c r="Y6" s="144" t="s">
        <v>21</v>
      </c>
      <c r="Z6" s="141"/>
      <c r="AA6" s="142" t="s">
        <v>162</v>
      </c>
      <c r="AB6" s="145" t="s">
        <v>1549</v>
      </c>
      <c r="AC6" s="141"/>
      <c r="AD6" s="142" t="s">
        <v>162</v>
      </c>
      <c r="AE6" s="145" t="s">
        <v>1550</v>
      </c>
      <c r="AF6" s="141"/>
      <c r="AG6" s="142" t="s">
        <v>162</v>
      </c>
      <c r="AH6" s="145" t="s">
        <v>105</v>
      </c>
      <c r="AI6" s="141"/>
      <c r="AJ6" s="142" t="s">
        <v>162</v>
      </c>
      <c r="AK6" s="145" t="s">
        <v>1551</v>
      </c>
      <c r="AL6" s="141"/>
      <c r="AM6" s="142" t="s">
        <v>124</v>
      </c>
      <c r="AN6" s="145"/>
      <c r="AO6" s="141"/>
      <c r="AP6" s="142" t="s">
        <v>1959</v>
      </c>
      <c r="AQ6" s="145"/>
      <c r="AR6" s="141"/>
      <c r="AS6" s="142" t="s">
        <v>1960</v>
      </c>
      <c r="AT6" s="145"/>
      <c r="AU6" s="141"/>
      <c r="AV6" s="142" t="s">
        <v>126</v>
      </c>
      <c r="AW6" s="145"/>
      <c r="AX6" s="141"/>
      <c r="AY6" s="142" t="s">
        <v>127</v>
      </c>
      <c r="AZ6" s="145"/>
    </row>
    <row r="7" spans="1:59" x14ac:dyDescent="0.25">
      <c r="A7" s="139"/>
      <c r="B7" s="146" t="s">
        <v>104</v>
      </c>
      <c r="C7" s="147" t="s">
        <v>27</v>
      </c>
      <c r="D7" s="148" t="s">
        <v>25</v>
      </c>
      <c r="E7" s="146" t="s">
        <v>104</v>
      </c>
      <c r="F7" s="147" t="s">
        <v>27</v>
      </c>
      <c r="G7" s="148" t="s">
        <v>25</v>
      </c>
      <c r="H7" s="146" t="s">
        <v>104</v>
      </c>
      <c r="I7" s="147" t="s">
        <v>27</v>
      </c>
      <c r="J7" s="148" t="s">
        <v>25</v>
      </c>
      <c r="K7" s="146" t="s">
        <v>104</v>
      </c>
      <c r="L7" s="147" t="s">
        <v>27</v>
      </c>
      <c r="M7" s="148" t="s">
        <v>25</v>
      </c>
      <c r="N7" s="146" t="s">
        <v>104</v>
      </c>
      <c r="O7" s="147" t="s">
        <v>27</v>
      </c>
      <c r="P7" s="148" t="s">
        <v>25</v>
      </c>
      <c r="Q7" s="146" t="s">
        <v>104</v>
      </c>
      <c r="R7" s="147" t="s">
        <v>27</v>
      </c>
      <c r="S7" s="148" t="s">
        <v>25</v>
      </c>
      <c r="T7" s="146" t="s">
        <v>104</v>
      </c>
      <c r="U7" s="147" t="s">
        <v>27</v>
      </c>
      <c r="V7" s="148" t="s">
        <v>25</v>
      </c>
      <c r="W7" s="146" t="s">
        <v>28</v>
      </c>
      <c r="X7" s="147" t="s">
        <v>27</v>
      </c>
      <c r="Y7" s="148" t="s">
        <v>25</v>
      </c>
      <c r="Z7" s="146" t="s">
        <v>104</v>
      </c>
      <c r="AA7" s="147" t="s">
        <v>27</v>
      </c>
      <c r="AB7" s="148" t="s">
        <v>25</v>
      </c>
      <c r="AC7" s="146" t="s">
        <v>104</v>
      </c>
      <c r="AD7" s="147" t="s">
        <v>27</v>
      </c>
      <c r="AE7" s="148" t="s">
        <v>25</v>
      </c>
      <c r="AF7" s="146" t="s">
        <v>104</v>
      </c>
      <c r="AG7" s="147" t="s">
        <v>27</v>
      </c>
      <c r="AH7" s="148" t="s">
        <v>25</v>
      </c>
      <c r="AI7" s="146" t="s">
        <v>104</v>
      </c>
      <c r="AJ7" s="147" t="s">
        <v>27</v>
      </c>
      <c r="AK7" s="148" t="s">
        <v>25</v>
      </c>
      <c r="AL7" s="146" t="s">
        <v>104</v>
      </c>
      <c r="AM7" s="147" t="s">
        <v>27</v>
      </c>
      <c r="AN7" s="148" t="s">
        <v>25</v>
      </c>
      <c r="AO7" s="146" t="s">
        <v>104</v>
      </c>
      <c r="AP7" s="147" t="s">
        <v>27</v>
      </c>
      <c r="AQ7" s="148" t="s">
        <v>25</v>
      </c>
      <c r="AR7" s="146" t="s">
        <v>104</v>
      </c>
      <c r="AS7" s="147" t="s">
        <v>27</v>
      </c>
      <c r="AT7" s="148" t="s">
        <v>25</v>
      </c>
      <c r="AU7" s="146" t="s">
        <v>104</v>
      </c>
      <c r="AV7" s="147" t="s">
        <v>27</v>
      </c>
      <c r="AW7" s="148" t="s">
        <v>25</v>
      </c>
      <c r="AX7" s="146"/>
      <c r="AY7" s="147"/>
      <c r="AZ7" s="148"/>
    </row>
    <row r="8" spans="1:59" ht="14.5" x14ac:dyDescent="0.35">
      <c r="B8" s="149">
        <v>-80.066000000000003</v>
      </c>
      <c r="C8" s="150">
        <v>-0.113</v>
      </c>
      <c r="D8" s="151">
        <v>3.5999999999999997E-2</v>
      </c>
      <c r="E8" s="181">
        <v>-80.099999999999994</v>
      </c>
      <c r="F8" s="152">
        <v>-0.122</v>
      </c>
      <c r="G8" s="158">
        <v>0.04</v>
      </c>
      <c r="H8" s="149">
        <v>-80.739999999999995</v>
      </c>
      <c r="I8" s="150">
        <v>8.0000000000000002E-3</v>
      </c>
      <c r="J8" s="151">
        <v>6.7000000000000004E-2</v>
      </c>
      <c r="K8" s="149">
        <v>-24.9</v>
      </c>
      <c r="L8" s="153">
        <v>0.1</v>
      </c>
      <c r="M8" s="153">
        <f>0.27*2</f>
        <v>0.54</v>
      </c>
      <c r="N8" s="149">
        <v>-81.462000000000003</v>
      </c>
      <c r="O8" s="150">
        <v>2.58E-2</v>
      </c>
      <c r="P8" s="150">
        <v>1.7999999999999999E-2</v>
      </c>
      <c r="Q8" s="149">
        <v>-80.150000000000006</v>
      </c>
      <c r="R8" s="150">
        <v>-0.16600000000000001</v>
      </c>
      <c r="S8" s="150">
        <v>5.6000000000000001E-2</v>
      </c>
      <c r="T8" s="149">
        <v>-81.8</v>
      </c>
      <c r="U8" s="150">
        <v>-5.3999999999999999E-2</v>
      </c>
      <c r="V8" s="150">
        <f>0.068*2</f>
        <v>0.13600000000000001</v>
      </c>
      <c r="W8" s="149">
        <v>50.635100000000001</v>
      </c>
      <c r="X8" s="153">
        <v>0.61299999999999999</v>
      </c>
      <c r="Y8" s="154">
        <v>5.0200000000000002E-2</v>
      </c>
      <c r="Z8" s="155">
        <v>-24.99</v>
      </c>
      <c r="AA8" s="188">
        <v>0</v>
      </c>
      <c r="AB8" s="188">
        <v>0.13</v>
      </c>
      <c r="AC8" s="149">
        <v>-25.03</v>
      </c>
      <c r="AD8" s="188">
        <v>0.04</v>
      </c>
      <c r="AE8" s="188">
        <v>0.13</v>
      </c>
      <c r="AF8" s="149">
        <v>-25.04</v>
      </c>
      <c r="AG8" s="189">
        <v>0.05</v>
      </c>
      <c r="AH8" s="188">
        <v>0.13</v>
      </c>
      <c r="AI8" s="149">
        <v>-25.04</v>
      </c>
      <c r="AJ8" s="188">
        <v>0.04</v>
      </c>
      <c r="AK8" s="188">
        <v>0.13</v>
      </c>
      <c r="AL8" s="149">
        <v>-89.8</v>
      </c>
      <c r="AM8" s="150">
        <v>0.16400000000000001</v>
      </c>
      <c r="AN8" s="157">
        <v>0.14599999999999999</v>
      </c>
      <c r="AO8" s="149">
        <v>-25.1</v>
      </c>
      <c r="AP8" s="150">
        <v>-0.05</v>
      </c>
      <c r="AQ8" s="157">
        <v>0.54</v>
      </c>
      <c r="AR8" s="149">
        <v>-25</v>
      </c>
      <c r="AS8" s="150">
        <v>0.05</v>
      </c>
      <c r="AT8" s="157">
        <v>0.54</v>
      </c>
      <c r="AU8" s="149">
        <v>20.52</v>
      </c>
      <c r="AV8" s="150">
        <v>-0.01</v>
      </c>
      <c r="AW8" s="157">
        <v>0.1</v>
      </c>
      <c r="AX8" s="149">
        <v>20.56</v>
      </c>
      <c r="AY8" s="150">
        <v>0.02</v>
      </c>
      <c r="AZ8" s="157">
        <v>0.1</v>
      </c>
      <c r="BA8" s="132">
        <v>1</v>
      </c>
    </row>
    <row r="9" spans="1:59" ht="14.5" x14ac:dyDescent="0.35">
      <c r="B9" s="149">
        <v>-60.009</v>
      </c>
      <c r="C9" s="150">
        <v>-6.8000000000000005E-2</v>
      </c>
      <c r="D9" s="151">
        <v>3.5999999999999997E-2</v>
      </c>
      <c r="E9" s="181">
        <v>-40.1</v>
      </c>
      <c r="F9" s="152">
        <v>-9.9000000000000005E-2</v>
      </c>
      <c r="G9" s="158">
        <v>3.0499999999999999E-2</v>
      </c>
      <c r="H9" s="149">
        <v>-49.747</v>
      </c>
      <c r="I9" s="150">
        <v>-3.0000000000000001E-3</v>
      </c>
      <c r="J9" s="151">
        <v>6.7000000000000004E-2</v>
      </c>
      <c r="K9" s="149">
        <v>-9.8000000000000007</v>
      </c>
      <c r="L9" s="150">
        <v>0.2</v>
      </c>
      <c r="M9" s="153">
        <v>0.6</v>
      </c>
      <c r="N9" s="149">
        <v>-30.184000000000001</v>
      </c>
      <c r="O9" s="150">
        <v>-8.3000000000000001E-3</v>
      </c>
      <c r="P9" s="150">
        <v>1.7999999999999999E-2</v>
      </c>
      <c r="Q9" s="149">
        <v>-40.11</v>
      </c>
      <c r="R9" s="150">
        <v>-9.1999999999999998E-2</v>
      </c>
      <c r="S9" s="150">
        <v>2.1999999999999999E-2</v>
      </c>
      <c r="T9" s="149">
        <v>-49.9</v>
      </c>
      <c r="U9" s="150">
        <v>-8.7999999999999995E-2</v>
      </c>
      <c r="V9" s="150">
        <f>0.068*2</f>
        <v>0.13600000000000001</v>
      </c>
      <c r="W9" s="149">
        <v>150.5915</v>
      </c>
      <c r="X9" s="150">
        <v>0.5867</v>
      </c>
      <c r="Y9" s="151">
        <v>8.5300000000000001E-2</v>
      </c>
      <c r="Z9" s="155">
        <v>-19.989999999999998</v>
      </c>
      <c r="AA9" s="188">
        <v>0</v>
      </c>
      <c r="AB9" s="188">
        <v>0.13</v>
      </c>
      <c r="AC9" s="149">
        <v>-20.03</v>
      </c>
      <c r="AD9" s="188">
        <v>0.04</v>
      </c>
      <c r="AE9" s="188">
        <v>0.13</v>
      </c>
      <c r="AF9" s="149">
        <v>-20.03</v>
      </c>
      <c r="AG9" s="189">
        <v>0.03</v>
      </c>
      <c r="AH9" s="188">
        <v>0.13</v>
      </c>
      <c r="AI9" s="149">
        <v>-20.010000000000002</v>
      </c>
      <c r="AJ9" s="188">
        <v>0.02</v>
      </c>
      <c r="AK9" s="188">
        <v>0.13</v>
      </c>
      <c r="AL9" s="149">
        <v>-59.9</v>
      </c>
      <c r="AM9" s="150">
        <v>5.7000000000000002E-2</v>
      </c>
      <c r="AN9" s="157">
        <v>0.153</v>
      </c>
      <c r="AO9" s="149">
        <v>-10.1</v>
      </c>
      <c r="AP9" s="150">
        <v>-0.08</v>
      </c>
      <c r="AQ9" s="157">
        <v>0.54</v>
      </c>
      <c r="AR9" s="149">
        <v>-10.199999999999999</v>
      </c>
      <c r="AS9" s="150">
        <v>-0.18</v>
      </c>
      <c r="AT9" s="157">
        <v>0.54</v>
      </c>
      <c r="AU9" s="149">
        <v>36.630000000000003</v>
      </c>
      <c r="AV9" s="150">
        <v>0.01</v>
      </c>
      <c r="AW9" s="157">
        <v>0.1</v>
      </c>
      <c r="AX9" s="149">
        <v>36.67</v>
      </c>
      <c r="AY9" s="150">
        <v>7.0000000000000007E-2</v>
      </c>
      <c r="AZ9" s="157">
        <v>0.1</v>
      </c>
      <c r="BA9" s="132">
        <v>2</v>
      </c>
      <c r="BF9" s="132">
        <v>3.4599999999999999E-2</v>
      </c>
      <c r="BG9" s="132">
        <f>BF9/2</f>
        <v>1.7299999999999999E-2</v>
      </c>
    </row>
    <row r="10" spans="1:59" ht="14.5" x14ac:dyDescent="0.35">
      <c r="B10" s="149">
        <v>-40.042999999999999</v>
      </c>
      <c r="C10" s="150">
        <v>-9.8000000000000004E-2</v>
      </c>
      <c r="D10" s="151">
        <v>3.5999999999999997E-2</v>
      </c>
      <c r="E10" s="181">
        <v>-20.2</v>
      </c>
      <c r="F10" s="152">
        <v>-0.16</v>
      </c>
      <c r="G10" s="158">
        <v>0.03</v>
      </c>
      <c r="H10" s="149">
        <v>-24.684000000000001</v>
      </c>
      <c r="I10" s="150">
        <v>-1.0999999999999999E-2</v>
      </c>
      <c r="J10" s="151">
        <v>7.0999999999999994E-2</v>
      </c>
      <c r="K10" s="149">
        <v>0.14000000000000001</v>
      </c>
      <c r="L10" s="150">
        <v>0.14000000000000001</v>
      </c>
      <c r="M10" s="153">
        <f>0.27*2</f>
        <v>0.54</v>
      </c>
      <c r="N10" s="149">
        <v>-20.143999999999998</v>
      </c>
      <c r="O10" s="150">
        <v>-8.6E-3</v>
      </c>
      <c r="P10" s="150">
        <v>1.7999999999999999E-2</v>
      </c>
      <c r="Q10" s="149">
        <v>-19.940000000000001</v>
      </c>
      <c r="R10" s="150">
        <v>6.2E-2</v>
      </c>
      <c r="S10" s="150">
        <v>2.1999999999999999E-2</v>
      </c>
      <c r="T10" s="149">
        <v>-30</v>
      </c>
      <c r="U10" s="150">
        <v>-0.106</v>
      </c>
      <c r="V10" s="150">
        <f t="shared" ref="V10:V16" si="0">0.068*2</f>
        <v>0.13600000000000001</v>
      </c>
      <c r="W10" s="149">
        <v>250.63</v>
      </c>
      <c r="X10" s="150">
        <v>0.6321</v>
      </c>
      <c r="Y10" s="151">
        <v>0.1047</v>
      </c>
      <c r="Z10" s="155">
        <v>-0.01</v>
      </c>
      <c r="AA10" s="188">
        <v>0</v>
      </c>
      <c r="AB10" s="188">
        <v>0.13</v>
      </c>
      <c r="AC10" s="149">
        <v>-0.02</v>
      </c>
      <c r="AD10" s="188">
        <v>0</v>
      </c>
      <c r="AE10" s="188">
        <v>0.13</v>
      </c>
      <c r="AF10" s="149">
        <v>0</v>
      </c>
      <c r="AG10" s="189">
        <v>0.02</v>
      </c>
      <c r="AH10" s="188">
        <v>0.13</v>
      </c>
      <c r="AI10" s="149">
        <v>0.03</v>
      </c>
      <c r="AJ10" s="188">
        <v>0.04</v>
      </c>
      <c r="AK10" s="188">
        <v>0.13</v>
      </c>
      <c r="AL10" s="149">
        <v>-39.9</v>
      </c>
      <c r="AM10" s="150">
        <v>8.4000000000000005E-2</v>
      </c>
      <c r="AN10" s="157">
        <v>0.153</v>
      </c>
      <c r="AO10" s="149">
        <v>-0.2</v>
      </c>
      <c r="AP10" s="150">
        <v>-0.18</v>
      </c>
      <c r="AQ10" s="157">
        <v>0.54</v>
      </c>
      <c r="AR10" s="149">
        <v>-0.2</v>
      </c>
      <c r="AS10" s="150">
        <v>-0.18</v>
      </c>
      <c r="AT10" s="157">
        <v>0.54</v>
      </c>
      <c r="AU10" s="149">
        <v>40.33</v>
      </c>
      <c r="AV10" s="150">
        <v>0.03</v>
      </c>
      <c r="AW10" s="157">
        <v>0.1</v>
      </c>
      <c r="AX10" s="149"/>
      <c r="AY10" s="150"/>
      <c r="AZ10" s="157"/>
      <c r="BA10" s="132">
        <v>3</v>
      </c>
    </row>
    <row r="11" spans="1:59" ht="14.5" x14ac:dyDescent="0.35">
      <c r="B11" s="149">
        <v>-20.036000000000001</v>
      </c>
      <c r="C11" s="150">
        <v>-7.9000000000000001E-2</v>
      </c>
      <c r="D11" s="151">
        <v>3.5999999999999997E-2</v>
      </c>
      <c r="E11" s="181">
        <v>-0.2</v>
      </c>
      <c r="F11" s="152">
        <v>-0.13600000000000001</v>
      </c>
      <c r="G11" s="158">
        <v>2.9499999999999998E-2</v>
      </c>
      <c r="H11" s="149">
        <v>0.35299999999999998</v>
      </c>
      <c r="I11" s="150">
        <v>6.0000000000000001E-3</v>
      </c>
      <c r="J11" s="151">
        <v>6.7000000000000004E-2</v>
      </c>
      <c r="K11" s="149">
        <v>14.9</v>
      </c>
      <c r="L11" s="150">
        <v>-0.1</v>
      </c>
      <c r="M11" s="153">
        <f t="shared" ref="M11:M17" si="1">0.27*2</f>
        <v>0.54</v>
      </c>
      <c r="N11" s="149">
        <v>-4.9000000000000002E-2</v>
      </c>
      <c r="O11" s="153">
        <v>-1.9800000000000002E-2</v>
      </c>
      <c r="P11" s="150">
        <v>1.7999999999999999E-2</v>
      </c>
      <c r="Q11" s="149">
        <v>0.16</v>
      </c>
      <c r="R11" s="153">
        <v>0.23699999999999999</v>
      </c>
      <c r="S11" s="150">
        <v>1.6E-2</v>
      </c>
      <c r="T11" s="149">
        <v>-9.3000000000000007</v>
      </c>
      <c r="U11" s="153">
        <v>0.126</v>
      </c>
      <c r="V11" s="150">
        <f t="shared" si="0"/>
        <v>0.13600000000000001</v>
      </c>
      <c r="W11" s="149">
        <v>350.61</v>
      </c>
      <c r="X11" s="150">
        <v>0.628</v>
      </c>
      <c r="Y11" s="151">
        <v>0.1265</v>
      </c>
      <c r="Z11" s="155">
        <v>4.99</v>
      </c>
      <c r="AA11" s="188">
        <v>0</v>
      </c>
      <c r="AB11" s="188">
        <v>0.13</v>
      </c>
      <c r="AC11" s="149">
        <v>4.97</v>
      </c>
      <c r="AD11" s="188">
        <v>0.01</v>
      </c>
      <c r="AE11" s="188">
        <v>0.13</v>
      </c>
      <c r="AF11" s="149">
        <v>4.9800000000000004</v>
      </c>
      <c r="AG11" s="189">
        <v>0.01</v>
      </c>
      <c r="AH11" s="188">
        <v>0.13</v>
      </c>
      <c r="AI11" s="149">
        <v>4.99</v>
      </c>
      <c r="AJ11" s="188">
        <v>0</v>
      </c>
      <c r="AK11" s="188">
        <v>0.13</v>
      </c>
      <c r="AL11" s="149">
        <v>-0.1</v>
      </c>
      <c r="AM11" s="150">
        <v>-6.0999999999999999E-2</v>
      </c>
      <c r="AN11" s="157">
        <v>0.14599999999999999</v>
      </c>
      <c r="AO11" s="149">
        <v>14.9</v>
      </c>
      <c r="AP11" s="150">
        <v>-0.09</v>
      </c>
      <c r="AQ11" s="157">
        <v>0.54</v>
      </c>
      <c r="AR11" s="149">
        <v>14.8</v>
      </c>
      <c r="AS11" s="150">
        <v>-0.19</v>
      </c>
      <c r="AT11" s="157">
        <v>0.54</v>
      </c>
      <c r="AU11" s="149"/>
      <c r="AV11" s="150"/>
      <c r="AW11" s="157"/>
      <c r="AX11" s="149"/>
      <c r="AY11" s="150"/>
      <c r="AZ11" s="157"/>
      <c r="BA11" s="132">
        <v>4</v>
      </c>
    </row>
    <row r="12" spans="1:59" ht="14.5" x14ac:dyDescent="0.35">
      <c r="B12" s="149">
        <v>-10.048</v>
      </c>
      <c r="C12" s="150">
        <v>-8.5000000000000006E-2</v>
      </c>
      <c r="D12" s="151">
        <v>3.5999999999999997E-2</v>
      </c>
      <c r="E12" s="181">
        <v>36.6</v>
      </c>
      <c r="F12" s="152">
        <v>-6.3E-2</v>
      </c>
      <c r="G12" s="158">
        <v>2.9499999999999998E-2</v>
      </c>
      <c r="H12" s="149">
        <v>25.033000000000001</v>
      </c>
      <c r="I12" s="150">
        <v>-4.0000000000000001E-3</v>
      </c>
      <c r="J12" s="151">
        <v>6.7000000000000004E-2</v>
      </c>
      <c r="K12" s="149">
        <v>30</v>
      </c>
      <c r="L12" s="150">
        <v>0</v>
      </c>
      <c r="M12" s="153">
        <f t="shared" si="1"/>
        <v>0.54</v>
      </c>
      <c r="N12" s="149">
        <v>24.978999999999999</v>
      </c>
      <c r="O12" s="150">
        <v>-2.3599999999999999E-2</v>
      </c>
      <c r="P12" s="150">
        <v>1.7999999999999999E-2</v>
      </c>
      <c r="Q12" s="149">
        <v>25.17</v>
      </c>
      <c r="R12" s="150">
        <v>0.32900000000000001</v>
      </c>
      <c r="S12" s="150">
        <v>1.6E-2</v>
      </c>
      <c r="T12" s="149">
        <v>-0.6</v>
      </c>
      <c r="U12" s="150">
        <v>-0.222</v>
      </c>
      <c r="V12" s="150">
        <f t="shared" si="0"/>
        <v>0.13600000000000001</v>
      </c>
      <c r="W12" s="149">
        <v>450.6</v>
      </c>
      <c r="X12" s="150">
        <v>0.63619999999999999</v>
      </c>
      <c r="Y12" s="151">
        <v>0.17050000000000001</v>
      </c>
      <c r="Z12" s="155">
        <v>9.99</v>
      </c>
      <c r="AA12" s="188">
        <v>0</v>
      </c>
      <c r="AB12" s="188">
        <v>0.13</v>
      </c>
      <c r="AC12" s="149">
        <v>10</v>
      </c>
      <c r="AD12" s="188">
        <v>0.01</v>
      </c>
      <c r="AE12" s="188">
        <v>0.13</v>
      </c>
      <c r="AF12" s="149">
        <v>9.99</v>
      </c>
      <c r="AG12" s="189">
        <v>0</v>
      </c>
      <c r="AH12" s="188">
        <v>0.13</v>
      </c>
      <c r="AI12" s="149">
        <v>10</v>
      </c>
      <c r="AJ12" s="188">
        <v>0.01</v>
      </c>
      <c r="AK12" s="188">
        <v>0.13</v>
      </c>
      <c r="AL12" s="149">
        <v>9.9</v>
      </c>
      <c r="AM12" s="150">
        <v>-8.6999999999999994E-2</v>
      </c>
      <c r="AN12" s="159">
        <v>0.14599999999999999</v>
      </c>
      <c r="AO12" s="149">
        <v>29.9</v>
      </c>
      <c r="AP12" s="150">
        <v>-0.09</v>
      </c>
      <c r="AQ12" s="157">
        <v>0.54</v>
      </c>
      <c r="AR12" s="149">
        <v>29.9</v>
      </c>
      <c r="AS12" s="150">
        <v>-0.09</v>
      </c>
      <c r="AT12" s="157">
        <v>0.54</v>
      </c>
      <c r="AU12" s="149"/>
      <c r="AV12" s="150"/>
      <c r="AW12" s="159"/>
      <c r="AX12" s="149"/>
      <c r="AY12" s="150"/>
      <c r="AZ12" s="159"/>
      <c r="BA12" s="132">
        <v>5</v>
      </c>
    </row>
    <row r="13" spans="1:59" ht="14.5" x14ac:dyDescent="0.35">
      <c r="B13" s="149">
        <v>-6.4000000000000001E-2</v>
      </c>
      <c r="C13" s="152">
        <v>-6.9000000000000006E-2</v>
      </c>
      <c r="D13" s="151">
        <v>3.5999999999999997E-2</v>
      </c>
      <c r="E13" s="181">
        <v>69.7</v>
      </c>
      <c r="F13" s="152">
        <v>-0.26600000000000001</v>
      </c>
      <c r="G13" s="158">
        <v>0.03</v>
      </c>
      <c r="H13" s="149">
        <v>50.023000000000003</v>
      </c>
      <c r="I13" s="150">
        <v>-2.5999999999999999E-2</v>
      </c>
      <c r="J13" s="151">
        <v>6.7000000000000004E-2</v>
      </c>
      <c r="K13" s="149">
        <v>49.8</v>
      </c>
      <c r="L13" s="150">
        <v>-0.2</v>
      </c>
      <c r="M13" s="153">
        <f t="shared" si="1"/>
        <v>0.54</v>
      </c>
      <c r="N13" s="149">
        <v>49.982999999999997</v>
      </c>
      <c r="O13" s="150">
        <v>-4.1700000000000001E-2</v>
      </c>
      <c r="P13" s="150">
        <v>1.7999999999999999E-2</v>
      </c>
      <c r="Q13" s="149">
        <v>50.27</v>
      </c>
      <c r="R13" s="150">
        <v>0.25600000000000001</v>
      </c>
      <c r="S13" s="150">
        <v>1.6E-2</v>
      </c>
      <c r="T13" s="149">
        <v>10.199999999999999</v>
      </c>
      <c r="U13" s="150">
        <v>-4.7E-2</v>
      </c>
      <c r="V13" s="150">
        <f t="shared" si="0"/>
        <v>0.13600000000000001</v>
      </c>
      <c r="W13" s="149"/>
      <c r="X13" s="150"/>
      <c r="Y13" s="151"/>
      <c r="Z13" s="155">
        <v>19.98</v>
      </c>
      <c r="AA13" s="188">
        <v>0</v>
      </c>
      <c r="AB13" s="188">
        <v>0.13</v>
      </c>
      <c r="AC13" s="149">
        <v>19.98</v>
      </c>
      <c r="AD13" s="188">
        <v>0</v>
      </c>
      <c r="AE13" s="188">
        <v>0.13</v>
      </c>
      <c r="AF13" s="149">
        <v>19.97</v>
      </c>
      <c r="AG13" s="189">
        <v>0.01</v>
      </c>
      <c r="AH13" s="188">
        <v>0.13</v>
      </c>
      <c r="AI13" s="149">
        <v>19.97</v>
      </c>
      <c r="AJ13" s="188">
        <v>0.01</v>
      </c>
      <c r="AK13" s="188">
        <v>0.13</v>
      </c>
      <c r="AL13" s="149">
        <v>19.899999999999999</v>
      </c>
      <c r="AM13" s="150">
        <v>-1.7000000000000001E-2</v>
      </c>
      <c r="AN13" s="159">
        <v>0.14599999999999999</v>
      </c>
      <c r="AO13" s="149">
        <v>50</v>
      </c>
      <c r="AP13" s="150">
        <v>0.01</v>
      </c>
      <c r="AQ13" s="157">
        <v>0.54</v>
      </c>
      <c r="AR13" s="149">
        <v>50</v>
      </c>
      <c r="AS13" s="150">
        <v>0.01</v>
      </c>
      <c r="AT13" s="157">
        <v>0.54</v>
      </c>
      <c r="AU13" s="149"/>
      <c r="AV13" s="150"/>
      <c r="AW13" s="159"/>
      <c r="AX13" s="149"/>
      <c r="AY13" s="150"/>
      <c r="AZ13" s="159"/>
      <c r="BA13" s="132">
        <v>6</v>
      </c>
    </row>
    <row r="14" spans="1:59" ht="14.5" x14ac:dyDescent="0.35">
      <c r="B14" s="149">
        <v>9.9540000000000006</v>
      </c>
      <c r="C14" s="152">
        <v>-5.8000000000000003E-2</v>
      </c>
      <c r="D14" s="151">
        <v>3.5999999999999997E-2</v>
      </c>
      <c r="E14" s="181">
        <v>120.2</v>
      </c>
      <c r="F14" s="152">
        <v>0.16900000000000001</v>
      </c>
      <c r="G14" s="158">
        <v>0.03</v>
      </c>
      <c r="H14" s="149">
        <v>75.007999999999996</v>
      </c>
      <c r="I14" s="150">
        <v>-0.02</v>
      </c>
      <c r="J14" s="151">
        <v>6.7000000000000004E-2</v>
      </c>
      <c r="K14" s="149">
        <v>75.3</v>
      </c>
      <c r="L14" s="150">
        <v>0.3</v>
      </c>
      <c r="M14" s="153">
        <f t="shared" si="1"/>
        <v>0.54</v>
      </c>
      <c r="N14" s="149">
        <v>120.496</v>
      </c>
      <c r="O14" s="150">
        <v>0.1045</v>
      </c>
      <c r="P14" s="150">
        <v>2.1000000000000001E-2</v>
      </c>
      <c r="Q14" s="149">
        <v>150.09</v>
      </c>
      <c r="R14" s="150">
        <v>0.159</v>
      </c>
      <c r="S14" s="150">
        <v>2.4E-2</v>
      </c>
      <c r="T14" s="149">
        <v>30.9</v>
      </c>
      <c r="U14" s="150">
        <v>-7.3999999999999996E-2</v>
      </c>
      <c r="V14" s="150">
        <f t="shared" si="0"/>
        <v>0.13600000000000001</v>
      </c>
      <c r="W14" s="149"/>
      <c r="X14" s="150"/>
      <c r="Y14" s="151"/>
      <c r="Z14" s="155">
        <v>44.95</v>
      </c>
      <c r="AA14" s="188">
        <v>0</v>
      </c>
      <c r="AB14" s="188">
        <v>0.13</v>
      </c>
      <c r="AC14" s="149">
        <v>44.94</v>
      </c>
      <c r="AD14" s="188">
        <v>0.01</v>
      </c>
      <c r="AE14" s="188">
        <v>0.13</v>
      </c>
      <c r="AF14" s="149">
        <v>44.94</v>
      </c>
      <c r="AG14" s="189">
        <v>0.01</v>
      </c>
      <c r="AH14" s="188">
        <v>0.13</v>
      </c>
      <c r="AI14" s="149">
        <v>44.95</v>
      </c>
      <c r="AJ14" s="188">
        <v>0</v>
      </c>
      <c r="AK14" s="188">
        <v>0.13</v>
      </c>
      <c r="AL14" s="149">
        <v>40</v>
      </c>
      <c r="AM14" s="150">
        <v>6.7000000000000004E-2</v>
      </c>
      <c r="AN14" s="151">
        <v>0.153</v>
      </c>
      <c r="AO14" s="149">
        <v>75</v>
      </c>
      <c r="AP14" s="150">
        <v>0.08</v>
      </c>
      <c r="AQ14" s="157">
        <v>0.54</v>
      </c>
      <c r="AR14" s="149">
        <v>75</v>
      </c>
      <c r="AS14" s="150">
        <v>0.08</v>
      </c>
      <c r="AT14" s="157">
        <v>0.54</v>
      </c>
      <c r="AU14" s="149"/>
      <c r="AV14" s="150"/>
      <c r="AW14" s="151"/>
      <c r="AX14" s="149"/>
      <c r="AY14" s="150"/>
      <c r="AZ14" s="151"/>
      <c r="BA14" s="132">
        <v>7</v>
      </c>
    </row>
    <row r="15" spans="1:59" ht="14.5" x14ac:dyDescent="0.35">
      <c r="B15" s="149">
        <v>19.995999999999999</v>
      </c>
      <c r="C15" s="152">
        <v>-1.9E-2</v>
      </c>
      <c r="D15" s="151">
        <v>3.5999999999999997E-2</v>
      </c>
      <c r="E15" s="181">
        <v>200.3</v>
      </c>
      <c r="F15" s="160">
        <v>0.26</v>
      </c>
      <c r="G15" s="158">
        <v>0.03</v>
      </c>
      <c r="H15" s="149">
        <v>99.984999999999999</v>
      </c>
      <c r="I15" s="150">
        <v>-3.5000000000000003E-2</v>
      </c>
      <c r="J15" s="151">
        <v>6.7000000000000004E-2</v>
      </c>
      <c r="K15" s="161">
        <v>99.5</v>
      </c>
      <c r="L15" s="153">
        <v>-0.5</v>
      </c>
      <c r="M15" s="153">
        <f t="shared" si="1"/>
        <v>0.54</v>
      </c>
      <c r="N15" s="149">
        <v>239.19200000000001</v>
      </c>
      <c r="O15" s="150">
        <v>0.2591</v>
      </c>
      <c r="P15" s="150">
        <v>2.1000000000000001E-2</v>
      </c>
      <c r="Q15" s="149">
        <v>240.05</v>
      </c>
      <c r="R15" s="150">
        <v>2.4E-2</v>
      </c>
      <c r="S15" s="150">
        <v>2.4E-2</v>
      </c>
      <c r="T15" s="149">
        <v>50.7</v>
      </c>
      <c r="U15" s="150">
        <v>0.191</v>
      </c>
      <c r="V15" s="150">
        <f t="shared" si="0"/>
        <v>0.13600000000000001</v>
      </c>
      <c r="W15" s="149"/>
      <c r="X15" s="150"/>
      <c r="Y15" s="151"/>
      <c r="Z15" s="155">
        <v>68.87</v>
      </c>
      <c r="AA15" s="188">
        <v>0</v>
      </c>
      <c r="AB15" s="188">
        <v>0.13</v>
      </c>
      <c r="AC15" s="149">
        <v>69.8</v>
      </c>
      <c r="AD15" s="188">
        <v>7.0000000000000007E-2</v>
      </c>
      <c r="AE15" s="188">
        <v>0.13</v>
      </c>
      <c r="AF15" s="149">
        <v>69.8</v>
      </c>
      <c r="AG15" s="189">
        <v>0.08</v>
      </c>
      <c r="AH15" s="188">
        <v>0.13</v>
      </c>
      <c r="AI15" s="149">
        <v>69.81</v>
      </c>
      <c r="AJ15" s="188">
        <v>0.06</v>
      </c>
      <c r="AK15" s="188">
        <v>0.13</v>
      </c>
      <c r="AL15" s="149">
        <v>100</v>
      </c>
      <c r="AM15" s="150">
        <v>8.3000000000000004E-2</v>
      </c>
      <c r="AN15" s="151">
        <v>0.153</v>
      </c>
      <c r="AO15" s="149">
        <v>99.96</v>
      </c>
      <c r="AP15" s="150">
        <v>-0.03</v>
      </c>
      <c r="AQ15" s="157">
        <v>0.54</v>
      </c>
      <c r="AR15" s="149">
        <v>100</v>
      </c>
      <c r="AS15" s="150">
        <v>0.01</v>
      </c>
      <c r="AT15" s="157">
        <v>0.54</v>
      </c>
      <c r="AU15" s="149"/>
      <c r="AV15" s="150"/>
      <c r="AW15" s="151"/>
      <c r="AX15" s="149"/>
      <c r="AY15" s="150"/>
      <c r="AZ15" s="151"/>
      <c r="BA15" s="132">
        <v>8</v>
      </c>
    </row>
    <row r="16" spans="1:59" ht="14.5" x14ac:dyDescent="0.35">
      <c r="B16" s="149">
        <v>49.988</v>
      </c>
      <c r="C16" s="152">
        <v>-0.04</v>
      </c>
      <c r="D16" s="151">
        <v>3.5999999999999997E-2</v>
      </c>
      <c r="E16" s="181">
        <v>250.3</v>
      </c>
      <c r="F16" s="160">
        <v>0.216</v>
      </c>
      <c r="G16" s="158">
        <v>3.1E-2</v>
      </c>
      <c r="H16" s="161">
        <v>124.952</v>
      </c>
      <c r="I16" s="153">
        <v>-3.5000000000000003E-2</v>
      </c>
      <c r="J16" s="151">
        <v>6.7000000000000004E-2</v>
      </c>
      <c r="K16" s="149">
        <v>119.4</v>
      </c>
      <c r="L16" s="153">
        <v>-0.6</v>
      </c>
      <c r="M16" s="153">
        <f t="shared" si="1"/>
        <v>0.54</v>
      </c>
      <c r="N16" s="149">
        <v>398.86700000000002</v>
      </c>
      <c r="O16" s="150">
        <v>0.5363</v>
      </c>
      <c r="P16" s="150">
        <v>2.1000000000000001E-2</v>
      </c>
      <c r="Q16" s="149">
        <v>299.75</v>
      </c>
      <c r="R16" s="150">
        <v>-3.2399999999999998E-2</v>
      </c>
      <c r="S16" s="150">
        <v>2.4E-2</v>
      </c>
      <c r="T16" s="149">
        <v>70.099999999999994</v>
      </c>
      <c r="U16" s="150">
        <v>0.126</v>
      </c>
      <c r="V16" s="150">
        <f t="shared" si="0"/>
        <v>0.13600000000000001</v>
      </c>
      <c r="W16" s="149"/>
      <c r="X16" s="150"/>
      <c r="Y16" s="151"/>
      <c r="Z16" s="155">
        <v>99.9</v>
      </c>
      <c r="AA16" s="188">
        <v>0</v>
      </c>
      <c r="AB16" s="188">
        <v>0.13</v>
      </c>
      <c r="AC16" s="149">
        <v>99.91</v>
      </c>
      <c r="AD16" s="188">
        <v>0</v>
      </c>
      <c r="AE16" s="188">
        <v>0.13</v>
      </c>
      <c r="AF16" s="149">
        <v>99.91</v>
      </c>
      <c r="AG16" s="189">
        <v>0.01</v>
      </c>
      <c r="AH16" s="188">
        <v>0.13</v>
      </c>
      <c r="AI16" s="149">
        <v>99.92</v>
      </c>
      <c r="AJ16" s="188">
        <v>0.01</v>
      </c>
      <c r="AK16" s="188">
        <v>0.13</v>
      </c>
      <c r="AL16" s="149">
        <v>119.9</v>
      </c>
      <c r="AM16" s="150">
        <v>-2.9000000000000001E-2</v>
      </c>
      <c r="AN16" s="151">
        <v>0.14599999999999999</v>
      </c>
      <c r="AO16" s="149">
        <v>119.9</v>
      </c>
      <c r="AP16" s="150">
        <v>-0.09</v>
      </c>
      <c r="AQ16" s="157">
        <v>0.54</v>
      </c>
      <c r="AR16" s="149">
        <v>119.9</v>
      </c>
      <c r="AS16" s="150">
        <v>-0.09</v>
      </c>
      <c r="AT16" s="157">
        <v>0.54</v>
      </c>
      <c r="AU16" s="149"/>
      <c r="AV16" s="150"/>
      <c r="AW16" s="151"/>
      <c r="AX16" s="149"/>
      <c r="AY16" s="150"/>
      <c r="AZ16" s="151"/>
      <c r="BA16" s="132">
        <v>9</v>
      </c>
    </row>
    <row r="17" spans="1:53" ht="14.5" x14ac:dyDescent="0.35">
      <c r="B17" s="149">
        <v>80.010000000000005</v>
      </c>
      <c r="C17" s="152">
        <v>-3.0000000000000001E-3</v>
      </c>
      <c r="D17" s="151">
        <v>3.5999999999999997E-2</v>
      </c>
      <c r="E17" s="181">
        <v>270.39999999999998</v>
      </c>
      <c r="F17" s="153">
        <v>0.28799999999999998</v>
      </c>
      <c r="G17" s="158">
        <v>3.1E-2</v>
      </c>
      <c r="H17" s="161">
        <v>149.93600000000001</v>
      </c>
      <c r="I17" s="153">
        <v>-3.3000000000000002E-2</v>
      </c>
      <c r="J17" s="151">
        <v>6.7000000000000004E-2</v>
      </c>
      <c r="K17" s="149">
        <v>139.19999999999999</v>
      </c>
      <c r="L17" s="153">
        <v>-0.8</v>
      </c>
      <c r="M17" s="153">
        <f t="shared" si="1"/>
        <v>0.54</v>
      </c>
      <c r="N17" s="149"/>
      <c r="O17" s="150"/>
      <c r="P17" s="150"/>
      <c r="Q17" s="149">
        <v>399.16</v>
      </c>
      <c r="R17" s="150">
        <v>-1.0249999999999999</v>
      </c>
      <c r="S17" s="150">
        <v>6.2E-2</v>
      </c>
      <c r="T17" s="149">
        <v>100.1</v>
      </c>
      <c r="U17" s="150">
        <v>0.19</v>
      </c>
      <c r="V17" s="150">
        <f>0.071*2</f>
        <v>0.14199999999999999</v>
      </c>
      <c r="W17" s="149"/>
      <c r="X17" s="150"/>
      <c r="Y17" s="151"/>
      <c r="Z17" s="155">
        <v>120.89</v>
      </c>
      <c r="AA17" s="188">
        <v>0</v>
      </c>
      <c r="AB17" s="188">
        <v>0.13</v>
      </c>
      <c r="AC17" s="149">
        <v>120.9</v>
      </c>
      <c r="AD17" s="188">
        <v>0</v>
      </c>
      <c r="AE17" s="188">
        <v>0.13</v>
      </c>
      <c r="AF17" s="149">
        <v>120.91</v>
      </c>
      <c r="AG17" s="189">
        <v>0.01</v>
      </c>
      <c r="AH17" s="188">
        <v>0.13</v>
      </c>
      <c r="AI17" s="149">
        <v>120.9</v>
      </c>
      <c r="AJ17" s="188">
        <v>0.01</v>
      </c>
      <c r="AK17" s="188">
        <v>0.13</v>
      </c>
      <c r="AL17" s="149">
        <v>199.9</v>
      </c>
      <c r="AM17" s="150">
        <v>-0.11799999999999999</v>
      </c>
      <c r="AN17" s="151">
        <v>0.14599999999999999</v>
      </c>
      <c r="AO17" s="149">
        <v>139.80000000000001</v>
      </c>
      <c r="AP17" s="150">
        <v>-0.2</v>
      </c>
      <c r="AQ17" s="157">
        <v>0.54</v>
      </c>
      <c r="AR17" s="149">
        <v>139.9</v>
      </c>
      <c r="AS17" s="150">
        <v>-0.1</v>
      </c>
      <c r="AT17" s="157">
        <v>0.54</v>
      </c>
      <c r="AU17" s="149"/>
      <c r="AV17" s="150"/>
      <c r="AW17" s="151"/>
      <c r="AX17" s="149"/>
      <c r="AY17" s="150"/>
      <c r="AZ17" s="151"/>
      <c r="BA17" s="132">
        <v>10</v>
      </c>
    </row>
    <row r="18" spans="1:53" ht="14.5" x14ac:dyDescent="0.35">
      <c r="B18" s="149">
        <v>99.995999999999995</v>
      </c>
      <c r="C18" s="150">
        <v>0.187</v>
      </c>
      <c r="D18" s="151">
        <v>4.2000000000000003E-2</v>
      </c>
      <c r="E18" s="149"/>
      <c r="F18" s="150"/>
      <c r="G18" s="150"/>
      <c r="H18" s="161">
        <v>199.93199999999999</v>
      </c>
      <c r="I18" s="153">
        <v>-2.3E-2</v>
      </c>
      <c r="J18" s="151">
        <v>6.7000000000000004E-2</v>
      </c>
      <c r="K18" s="149"/>
      <c r="L18" s="150"/>
      <c r="M18" s="153"/>
      <c r="N18" s="149"/>
      <c r="O18" s="150"/>
      <c r="P18" s="150"/>
      <c r="Q18" s="149"/>
      <c r="R18" s="150"/>
      <c r="S18" s="150"/>
      <c r="T18" s="149"/>
      <c r="U18" s="150"/>
      <c r="V18" s="150"/>
      <c r="W18" s="149"/>
      <c r="X18" s="150"/>
      <c r="Y18" s="151"/>
      <c r="Z18" s="149">
        <v>139.87</v>
      </c>
      <c r="AA18" s="188">
        <v>0</v>
      </c>
      <c r="AB18" s="188">
        <v>0.13</v>
      </c>
      <c r="AC18" s="149">
        <v>139.87</v>
      </c>
      <c r="AD18" s="188">
        <v>0</v>
      </c>
      <c r="AE18" s="188">
        <v>0.13</v>
      </c>
      <c r="AF18" s="149">
        <v>139.87</v>
      </c>
      <c r="AG18" s="189">
        <v>0</v>
      </c>
      <c r="AH18" s="188">
        <v>0.13</v>
      </c>
      <c r="AI18" s="149">
        <v>139.88</v>
      </c>
      <c r="AJ18" s="188">
        <v>0</v>
      </c>
      <c r="AK18" s="188">
        <v>0.13</v>
      </c>
      <c r="AL18" s="149">
        <v>250</v>
      </c>
      <c r="AM18" s="150">
        <v>7.8E-2</v>
      </c>
      <c r="AN18" s="162">
        <v>0.14599999999999999</v>
      </c>
      <c r="AO18" s="149"/>
      <c r="AP18" s="150"/>
      <c r="AQ18" s="162"/>
      <c r="AR18" s="149"/>
      <c r="AS18" s="150"/>
      <c r="AT18" s="162"/>
      <c r="AU18" s="149"/>
      <c r="AV18" s="150"/>
      <c r="AW18" s="162"/>
      <c r="AX18" s="149"/>
      <c r="AY18" s="150"/>
      <c r="AZ18" s="162"/>
      <c r="BA18" s="132">
        <v>11</v>
      </c>
    </row>
    <row r="19" spans="1:53" x14ac:dyDescent="0.25">
      <c r="B19" s="149">
        <v>120.033</v>
      </c>
      <c r="C19" s="150">
        <v>0.21</v>
      </c>
      <c r="D19" s="151">
        <v>4.2000000000000003E-2</v>
      </c>
      <c r="E19" s="149"/>
      <c r="F19" s="150"/>
      <c r="G19" s="150"/>
      <c r="H19" s="149">
        <v>249.93199999999999</v>
      </c>
      <c r="I19" s="150">
        <v>-1.9E-2</v>
      </c>
      <c r="J19" s="151">
        <v>6.7000000000000004E-2</v>
      </c>
      <c r="K19" s="149"/>
      <c r="L19" s="150"/>
      <c r="M19" s="153"/>
      <c r="N19" s="161"/>
      <c r="O19" s="150"/>
      <c r="P19" s="150"/>
      <c r="Q19" s="161"/>
      <c r="R19" s="150"/>
      <c r="S19" s="150"/>
      <c r="T19" s="161"/>
      <c r="U19" s="150"/>
      <c r="V19" s="150"/>
      <c r="W19" s="161"/>
      <c r="X19" s="153"/>
      <c r="Y19" s="151"/>
      <c r="Z19" s="161"/>
      <c r="AA19" s="153"/>
      <c r="AB19" s="151"/>
      <c r="AC19" s="161"/>
      <c r="AD19" s="153"/>
      <c r="AE19" s="151"/>
      <c r="AF19" s="161"/>
      <c r="AH19" s="151"/>
      <c r="AI19" s="161"/>
      <c r="AJ19" s="150"/>
      <c r="AK19" s="151"/>
      <c r="AL19" s="161">
        <v>270</v>
      </c>
      <c r="AM19" s="132">
        <v>6.4000000000000001E-2</v>
      </c>
      <c r="AN19" s="162">
        <v>0.153</v>
      </c>
      <c r="AO19" s="161"/>
      <c r="AQ19" s="162"/>
      <c r="AR19" s="161"/>
      <c r="AT19" s="162"/>
      <c r="AU19" s="161"/>
      <c r="AW19" s="162"/>
      <c r="AX19" s="161"/>
      <c r="AZ19" s="162"/>
      <c r="BA19" s="132">
        <v>12</v>
      </c>
    </row>
    <row r="20" spans="1:53" x14ac:dyDescent="0.25">
      <c r="B20" s="149">
        <v>149.39099999999999</v>
      </c>
      <c r="C20" s="150">
        <v>8.7999999999999995E-2</v>
      </c>
      <c r="D20" s="151">
        <v>4.2000000000000003E-2</v>
      </c>
      <c r="E20" s="149"/>
      <c r="F20" s="150"/>
      <c r="G20" s="150"/>
      <c r="H20" s="149">
        <v>299.95</v>
      </c>
      <c r="I20" s="150">
        <v>-2.1000000000000001E-2</v>
      </c>
      <c r="J20" s="151">
        <v>0.11</v>
      </c>
      <c r="K20" s="149"/>
      <c r="L20" s="150"/>
      <c r="M20" s="153"/>
      <c r="N20" s="161"/>
      <c r="O20" s="150"/>
      <c r="P20" s="150"/>
      <c r="Q20" s="161"/>
      <c r="R20" s="150"/>
      <c r="S20" s="150"/>
      <c r="T20" s="161"/>
      <c r="U20" s="150"/>
      <c r="V20" s="150"/>
      <c r="W20" s="161"/>
      <c r="X20" s="153"/>
      <c r="Y20" s="151"/>
      <c r="Z20" s="161"/>
      <c r="AA20" s="153"/>
      <c r="AB20" s="151"/>
      <c r="AC20" s="161"/>
      <c r="AD20" s="153"/>
      <c r="AE20" s="151"/>
      <c r="AF20" s="161"/>
      <c r="AH20" s="162"/>
      <c r="AI20" s="161"/>
      <c r="AK20" s="162"/>
      <c r="AL20" s="161">
        <v>300.2</v>
      </c>
      <c r="AM20" s="132">
        <v>0.153</v>
      </c>
      <c r="AN20" s="162">
        <v>0.153</v>
      </c>
      <c r="AO20" s="161"/>
      <c r="AQ20" s="162"/>
      <c r="AR20" s="161"/>
      <c r="AT20" s="162"/>
      <c r="AU20" s="161"/>
      <c r="AW20" s="162"/>
      <c r="AX20" s="161"/>
      <c r="AZ20" s="162"/>
      <c r="BA20" s="132">
        <v>13</v>
      </c>
    </row>
    <row r="21" spans="1:53" x14ac:dyDescent="0.25">
      <c r="B21" s="149">
        <v>199.30500000000001</v>
      </c>
      <c r="C21" s="150">
        <v>0.23899999999999999</v>
      </c>
      <c r="D21" s="151">
        <v>4.2000000000000003E-2</v>
      </c>
      <c r="E21" s="149"/>
      <c r="F21" s="150"/>
      <c r="G21" s="150"/>
      <c r="H21" s="149">
        <v>349.95</v>
      </c>
      <c r="I21" s="150">
        <v>1.0999999999999999E-2</v>
      </c>
      <c r="J21" s="151">
        <v>0.11</v>
      </c>
      <c r="K21" s="163"/>
      <c r="L21" s="164"/>
      <c r="M21" s="151"/>
      <c r="N21" s="149"/>
      <c r="O21" s="150"/>
      <c r="P21" s="150"/>
      <c r="Q21" s="149"/>
      <c r="R21" s="150"/>
      <c r="S21" s="150"/>
      <c r="T21" s="149"/>
      <c r="U21" s="150"/>
      <c r="V21" s="150"/>
      <c r="W21" s="149"/>
      <c r="X21" s="153"/>
      <c r="Y21" s="151"/>
      <c r="Z21" s="165"/>
      <c r="AA21" s="153"/>
      <c r="AB21" s="151"/>
      <c r="AC21" s="165"/>
      <c r="AD21" s="153"/>
      <c r="AE21" s="151"/>
      <c r="AF21" s="165"/>
      <c r="AH21" s="162"/>
      <c r="AI21" s="165"/>
      <c r="AK21" s="162"/>
      <c r="AL21" s="165"/>
      <c r="AN21" s="162"/>
      <c r="AO21" s="165"/>
      <c r="AQ21" s="162"/>
      <c r="AR21" s="165"/>
      <c r="AT21" s="162"/>
      <c r="AU21" s="165"/>
      <c r="AW21" s="162"/>
      <c r="AX21" s="165"/>
      <c r="AZ21" s="162"/>
      <c r="BA21" s="132">
        <v>14</v>
      </c>
    </row>
    <row r="22" spans="1:53" x14ac:dyDescent="0.25">
      <c r="B22" s="149">
        <v>249.58699999999999</v>
      </c>
      <c r="C22" s="153">
        <v>0.245</v>
      </c>
      <c r="D22" s="154">
        <v>4.2000000000000003E-2</v>
      </c>
      <c r="E22" s="149"/>
      <c r="F22" s="150"/>
      <c r="G22" s="150"/>
      <c r="H22" s="149">
        <v>400</v>
      </c>
      <c r="I22" s="150">
        <v>3.2000000000000001E-2</v>
      </c>
      <c r="J22" s="151">
        <v>0.11</v>
      </c>
      <c r="K22" s="163"/>
      <c r="L22" s="164"/>
      <c r="M22" s="151"/>
      <c r="N22" s="149"/>
      <c r="O22" s="150"/>
      <c r="P22" s="150"/>
      <c r="Q22" s="149"/>
      <c r="R22" s="150"/>
      <c r="S22" s="150"/>
      <c r="T22" s="149"/>
      <c r="U22" s="150"/>
      <c r="V22" s="150"/>
      <c r="W22" s="149"/>
      <c r="X22" s="150"/>
      <c r="Y22" s="151"/>
      <c r="Z22" s="165"/>
      <c r="AA22" s="150"/>
      <c r="AB22" s="151"/>
      <c r="AC22" s="165"/>
      <c r="AD22" s="150"/>
      <c r="AE22" s="151"/>
      <c r="AF22" s="165"/>
      <c r="AH22" s="162"/>
      <c r="AI22" s="165"/>
      <c r="AK22" s="162"/>
      <c r="AL22" s="165"/>
      <c r="AN22" s="162"/>
      <c r="AO22" s="165"/>
      <c r="AQ22" s="162"/>
      <c r="AR22" s="165"/>
      <c r="AT22" s="162"/>
      <c r="AU22" s="165"/>
      <c r="AW22" s="162"/>
      <c r="AX22" s="165"/>
      <c r="AZ22" s="162"/>
      <c r="BA22" s="132">
        <v>15</v>
      </c>
    </row>
    <row r="23" spans="1:53" x14ac:dyDescent="0.25">
      <c r="B23" s="149">
        <v>299.30799999999999</v>
      </c>
      <c r="C23" s="150">
        <v>0.27500000000000002</v>
      </c>
      <c r="D23" s="154">
        <v>4.2000000000000003E-2</v>
      </c>
      <c r="E23" s="149"/>
      <c r="F23" s="150"/>
      <c r="G23" s="150"/>
      <c r="H23" s="165"/>
      <c r="I23" s="150"/>
      <c r="J23" s="151"/>
      <c r="K23" s="165"/>
      <c r="L23" s="150"/>
      <c r="M23" s="151"/>
      <c r="N23" s="149"/>
      <c r="O23" s="150"/>
      <c r="P23" s="150"/>
      <c r="Q23" s="149"/>
      <c r="R23" s="150"/>
      <c r="S23" s="150"/>
      <c r="T23" s="149"/>
      <c r="U23" s="150"/>
      <c r="V23" s="150"/>
      <c r="W23" s="149"/>
      <c r="X23" s="150"/>
      <c r="Y23" s="151"/>
      <c r="Z23" s="165"/>
      <c r="AA23" s="150"/>
      <c r="AB23" s="151"/>
      <c r="AC23" s="165"/>
      <c r="AD23" s="150"/>
      <c r="AE23" s="151"/>
      <c r="AF23" s="165"/>
      <c r="AH23" s="162"/>
      <c r="AI23" s="165"/>
      <c r="AK23" s="162"/>
      <c r="AL23" s="165"/>
      <c r="AN23" s="162"/>
      <c r="AO23" s="165"/>
      <c r="AQ23" s="162"/>
      <c r="AR23" s="165"/>
      <c r="AT23" s="162"/>
      <c r="AU23" s="165"/>
      <c r="AW23" s="162"/>
      <c r="AX23" s="165"/>
      <c r="AZ23" s="162"/>
      <c r="BA23" s="132">
        <v>16</v>
      </c>
    </row>
    <row r="24" spans="1:53" x14ac:dyDescent="0.25">
      <c r="B24" s="149">
        <v>349.06599999999997</v>
      </c>
      <c r="C24" s="150">
        <v>0.32500000000000001</v>
      </c>
      <c r="D24" s="154">
        <v>4.2000000000000003E-2</v>
      </c>
      <c r="E24" s="149"/>
      <c r="F24" s="150"/>
      <c r="G24" s="150"/>
      <c r="H24" s="165"/>
      <c r="I24" s="150"/>
      <c r="J24" s="151"/>
      <c r="K24" s="165"/>
      <c r="L24" s="150"/>
      <c r="M24" s="151"/>
      <c r="N24" s="149"/>
      <c r="O24" s="150"/>
      <c r="P24" s="150"/>
      <c r="Q24" s="149"/>
      <c r="R24" s="150"/>
      <c r="S24" s="151"/>
      <c r="T24" s="149"/>
      <c r="U24" s="150"/>
      <c r="V24" s="151"/>
      <c r="W24" s="149"/>
      <c r="X24" s="150"/>
      <c r="Y24" s="151"/>
      <c r="Z24" s="165"/>
      <c r="AA24" s="150"/>
      <c r="AB24" s="151"/>
      <c r="AC24" s="165"/>
      <c r="AD24" s="150"/>
      <c r="AE24" s="151"/>
      <c r="AF24" s="165"/>
      <c r="AH24" s="162"/>
      <c r="AI24" s="165"/>
      <c r="AK24" s="162"/>
      <c r="AL24" s="165"/>
      <c r="AN24" s="162"/>
      <c r="AO24" s="165"/>
      <c r="AQ24" s="162"/>
      <c r="AR24" s="165"/>
      <c r="AT24" s="162"/>
      <c r="AU24" s="165"/>
      <c r="AW24" s="162"/>
      <c r="AX24" s="165"/>
      <c r="AZ24" s="162"/>
      <c r="BA24" s="132">
        <v>17</v>
      </c>
    </row>
    <row r="25" spans="1:53" x14ac:dyDescent="0.25">
      <c r="B25" s="149">
        <v>399.31700000000001</v>
      </c>
      <c r="C25" s="150">
        <v>0.54700000000000004</v>
      </c>
      <c r="D25" s="151">
        <v>4.2000000000000003E-2</v>
      </c>
      <c r="E25" s="149"/>
      <c r="F25" s="150"/>
      <c r="G25" s="150"/>
      <c r="H25" s="165"/>
      <c r="I25" s="150"/>
      <c r="J25" s="151"/>
      <c r="K25" s="165"/>
      <c r="L25" s="150"/>
      <c r="M25" s="151"/>
      <c r="N25" s="149"/>
      <c r="O25" s="150"/>
      <c r="P25" s="150"/>
      <c r="Q25" s="149"/>
      <c r="R25" s="150"/>
      <c r="S25" s="151"/>
      <c r="T25" s="149"/>
      <c r="U25" s="150"/>
      <c r="V25" s="151"/>
      <c r="W25" s="149"/>
      <c r="X25" s="150"/>
      <c r="Y25" s="151"/>
      <c r="Z25" s="165"/>
      <c r="AA25" s="150"/>
      <c r="AB25" s="151"/>
      <c r="AC25" s="165"/>
      <c r="AD25" s="150"/>
      <c r="AE25" s="151"/>
      <c r="AF25" s="165"/>
      <c r="AH25" s="162"/>
      <c r="AI25" s="165"/>
      <c r="AK25" s="162"/>
      <c r="AL25" s="165"/>
      <c r="AN25" s="162"/>
      <c r="AO25" s="165"/>
      <c r="AQ25" s="162"/>
      <c r="AR25" s="165"/>
      <c r="AT25" s="162"/>
      <c r="AU25" s="165"/>
      <c r="AW25" s="162"/>
      <c r="AX25" s="165"/>
      <c r="AZ25" s="162"/>
      <c r="BA25" s="132">
        <v>18</v>
      </c>
    </row>
    <row r="26" spans="1:53" x14ac:dyDescent="0.25">
      <c r="B26" s="149"/>
      <c r="D26" s="151"/>
      <c r="E26" s="149"/>
      <c r="G26" s="150"/>
      <c r="H26" s="165"/>
      <c r="I26" s="150"/>
      <c r="J26" s="151"/>
      <c r="K26" s="165"/>
      <c r="L26" s="150"/>
      <c r="M26" s="151"/>
      <c r="N26" s="149"/>
      <c r="O26" s="150"/>
      <c r="P26" s="150"/>
      <c r="Q26" s="149"/>
      <c r="R26" s="150"/>
      <c r="S26" s="151"/>
      <c r="T26" s="149"/>
      <c r="U26" s="150"/>
      <c r="V26" s="151"/>
      <c r="W26" s="149"/>
      <c r="X26" s="150"/>
      <c r="Y26" s="151"/>
      <c r="Z26" s="165"/>
      <c r="AA26" s="150"/>
      <c r="AB26" s="151"/>
      <c r="AC26" s="165"/>
      <c r="AD26" s="150"/>
      <c r="AE26" s="151"/>
      <c r="AF26" s="165"/>
      <c r="AH26" s="162"/>
      <c r="AI26" s="165"/>
      <c r="AK26" s="162"/>
      <c r="AL26" s="165"/>
      <c r="AN26" s="162"/>
      <c r="AO26" s="165"/>
      <c r="AQ26" s="162"/>
      <c r="AR26" s="165"/>
      <c r="AT26" s="162"/>
      <c r="AU26" s="165"/>
      <c r="AW26" s="162"/>
      <c r="AX26" s="165"/>
      <c r="AZ26" s="162"/>
      <c r="BA26" s="132">
        <v>19</v>
      </c>
    </row>
    <row r="27" spans="1:53" x14ac:dyDescent="0.25">
      <c r="B27" s="149"/>
      <c r="D27" s="151"/>
      <c r="E27" s="149"/>
      <c r="G27" s="150"/>
      <c r="H27" s="165"/>
      <c r="I27" s="150"/>
      <c r="J27" s="151"/>
      <c r="K27" s="165"/>
      <c r="L27" s="150"/>
      <c r="M27" s="151"/>
      <c r="N27" s="149"/>
      <c r="O27" s="150"/>
      <c r="P27" s="150"/>
      <c r="Q27" s="149"/>
      <c r="R27" s="150"/>
      <c r="S27" s="151"/>
      <c r="T27" s="149"/>
      <c r="U27" s="150"/>
      <c r="V27" s="151"/>
      <c r="W27" s="149"/>
      <c r="X27" s="150"/>
      <c r="Y27" s="151"/>
      <c r="Z27" s="165"/>
      <c r="AA27" s="150"/>
      <c r="AB27" s="151"/>
      <c r="AC27" s="165"/>
      <c r="AD27" s="150"/>
      <c r="AE27" s="151"/>
      <c r="AF27" s="165"/>
      <c r="AH27" s="162"/>
      <c r="AI27" s="165"/>
      <c r="AK27" s="162"/>
      <c r="AL27" s="165"/>
      <c r="AN27" s="162"/>
      <c r="AO27" s="165"/>
      <c r="AQ27" s="162"/>
      <c r="AR27" s="165"/>
      <c r="AT27" s="162"/>
      <c r="AU27" s="165"/>
      <c r="AW27" s="162"/>
      <c r="AX27" s="165"/>
      <c r="AZ27" s="162"/>
      <c r="BA27" s="132">
        <v>20</v>
      </c>
    </row>
    <row r="28" spans="1:53" x14ac:dyDescent="0.25">
      <c r="B28" s="149"/>
      <c r="D28" s="151"/>
      <c r="E28" s="149"/>
      <c r="G28" s="150"/>
      <c r="H28" s="165"/>
      <c r="I28" s="150"/>
      <c r="J28" s="151"/>
      <c r="K28" s="165"/>
      <c r="L28" s="150"/>
      <c r="M28" s="151"/>
      <c r="N28" s="149"/>
      <c r="O28" s="150"/>
      <c r="P28" s="150"/>
      <c r="Q28" s="149"/>
      <c r="R28" s="150"/>
      <c r="S28" s="151"/>
      <c r="T28" s="149"/>
      <c r="U28" s="150"/>
      <c r="V28" s="151"/>
      <c r="W28" s="149"/>
      <c r="X28" s="150"/>
      <c r="Y28" s="151"/>
      <c r="Z28" s="165"/>
      <c r="AA28" s="150"/>
      <c r="AB28" s="151"/>
      <c r="AC28" s="165"/>
      <c r="AD28" s="150"/>
      <c r="AE28" s="151"/>
      <c r="AF28" s="165"/>
      <c r="AH28" s="162"/>
      <c r="AI28" s="165"/>
      <c r="AK28" s="162"/>
      <c r="AL28" s="165"/>
      <c r="AN28" s="162"/>
      <c r="AO28" s="165"/>
      <c r="AQ28" s="162"/>
      <c r="AR28" s="165"/>
      <c r="AT28" s="162"/>
      <c r="AU28" s="165"/>
      <c r="AW28" s="162"/>
      <c r="AX28" s="165"/>
      <c r="AZ28" s="162"/>
      <c r="BA28" s="132">
        <v>21</v>
      </c>
    </row>
    <row r="29" spans="1:53" x14ac:dyDescent="0.25">
      <c r="B29" s="149"/>
      <c r="D29" s="151"/>
      <c r="E29" s="149"/>
      <c r="G29" s="150"/>
      <c r="H29" s="165"/>
      <c r="I29" s="150"/>
      <c r="J29" s="151"/>
      <c r="K29" s="165"/>
      <c r="L29" s="150"/>
      <c r="M29" s="151"/>
      <c r="N29" s="149"/>
      <c r="O29" s="150"/>
      <c r="P29" s="150"/>
      <c r="Q29" s="149"/>
      <c r="R29" s="150"/>
      <c r="S29" s="151"/>
      <c r="T29" s="149"/>
      <c r="U29" s="150"/>
      <c r="V29" s="151"/>
      <c r="W29" s="149"/>
      <c r="X29" s="150"/>
      <c r="Y29" s="151"/>
      <c r="Z29" s="165"/>
      <c r="AA29" s="150"/>
      <c r="AB29" s="151"/>
      <c r="AC29" s="165"/>
      <c r="AD29" s="150"/>
      <c r="AE29" s="151"/>
      <c r="AF29" s="165"/>
      <c r="AH29" s="162"/>
      <c r="AI29" s="165"/>
      <c r="AK29" s="162"/>
      <c r="AL29" s="165"/>
      <c r="AN29" s="162"/>
      <c r="AO29" s="165"/>
      <c r="AQ29" s="162"/>
      <c r="AR29" s="165"/>
      <c r="AT29" s="162"/>
      <c r="AU29" s="165"/>
      <c r="AW29" s="162"/>
      <c r="AX29" s="165"/>
      <c r="AZ29" s="162"/>
      <c r="BA29" s="132">
        <v>22</v>
      </c>
    </row>
    <row r="30" spans="1:53" x14ac:dyDescent="0.25">
      <c r="B30" s="149"/>
      <c r="D30" s="151"/>
      <c r="E30" s="149"/>
      <c r="G30" s="150"/>
      <c r="H30" s="165"/>
      <c r="I30" s="150"/>
      <c r="J30" s="151"/>
      <c r="K30" s="165"/>
      <c r="L30" s="150"/>
      <c r="M30" s="151"/>
      <c r="N30" s="149"/>
      <c r="O30" s="150"/>
      <c r="P30" s="150"/>
      <c r="Q30" s="149"/>
      <c r="R30" s="150"/>
      <c r="S30" s="151"/>
      <c r="T30" s="149"/>
      <c r="U30" s="150"/>
      <c r="V30" s="151"/>
      <c r="W30" s="149"/>
      <c r="X30" s="150"/>
      <c r="Y30" s="151"/>
      <c r="Z30" s="165"/>
      <c r="AA30" s="150"/>
      <c r="AB30" s="151"/>
      <c r="AC30" s="165"/>
      <c r="AD30" s="150"/>
      <c r="AE30" s="151"/>
      <c r="AF30" s="165"/>
      <c r="AH30" s="162"/>
      <c r="AI30" s="165"/>
      <c r="AK30" s="162"/>
      <c r="AL30" s="165"/>
      <c r="AN30" s="162"/>
      <c r="AO30" s="165"/>
      <c r="AQ30" s="162"/>
      <c r="AR30" s="165"/>
      <c r="AT30" s="162"/>
      <c r="AU30" s="165"/>
      <c r="AW30" s="162"/>
      <c r="AX30" s="165"/>
      <c r="AZ30" s="162"/>
      <c r="BA30" s="132">
        <v>23</v>
      </c>
    </row>
    <row r="31" spans="1:53" ht="12" thickBot="1" x14ac:dyDescent="0.3">
      <c r="B31" s="166"/>
      <c r="C31" s="167"/>
      <c r="D31" s="168"/>
      <c r="E31" s="166"/>
      <c r="F31" s="169"/>
      <c r="G31" s="169"/>
      <c r="H31" s="170"/>
      <c r="I31" s="169"/>
      <c r="J31" s="168"/>
      <c r="K31" s="170"/>
      <c r="L31" s="169"/>
      <c r="M31" s="168"/>
      <c r="N31" s="149"/>
      <c r="O31" s="169"/>
      <c r="P31" s="169"/>
      <c r="Q31" s="166"/>
      <c r="R31" s="169"/>
      <c r="S31" s="168"/>
      <c r="T31" s="166"/>
      <c r="U31" s="169"/>
      <c r="V31" s="168"/>
      <c r="W31" s="166"/>
      <c r="X31" s="169"/>
      <c r="Y31" s="168"/>
      <c r="Z31" s="170"/>
      <c r="AA31" s="169"/>
      <c r="AB31" s="168"/>
      <c r="AC31" s="170"/>
      <c r="AD31" s="169"/>
      <c r="AE31" s="168"/>
      <c r="AF31" s="170"/>
      <c r="AG31" s="167"/>
      <c r="AH31" s="171"/>
      <c r="AI31" s="170"/>
      <c r="AJ31" s="167"/>
      <c r="AK31" s="171"/>
      <c r="AL31" s="170"/>
      <c r="AM31" s="167"/>
      <c r="AN31" s="171"/>
      <c r="AO31" s="170"/>
      <c r="AP31" s="167"/>
      <c r="AQ31" s="171"/>
      <c r="AR31" s="170"/>
      <c r="AS31" s="167"/>
      <c r="AT31" s="171"/>
      <c r="AU31" s="170"/>
      <c r="AV31" s="167"/>
      <c r="AW31" s="171"/>
      <c r="AX31" s="170"/>
      <c r="AY31" s="167"/>
      <c r="AZ31" s="171"/>
      <c r="BA31" s="132">
        <v>24</v>
      </c>
    </row>
    <row r="32" spans="1:53" x14ac:dyDescent="0.25">
      <c r="A32" s="139"/>
      <c r="B32" s="146" t="s">
        <v>28</v>
      </c>
      <c r="C32" s="147" t="s">
        <v>27</v>
      </c>
      <c r="D32" s="148" t="s">
        <v>25</v>
      </c>
      <c r="E32" s="146" t="s">
        <v>28</v>
      </c>
      <c r="F32" s="147" t="s">
        <v>27</v>
      </c>
      <c r="G32" s="172" t="s">
        <v>25</v>
      </c>
      <c r="H32" s="146" t="s">
        <v>28</v>
      </c>
      <c r="I32" s="147" t="s">
        <v>27</v>
      </c>
      <c r="J32" s="148" t="s">
        <v>25</v>
      </c>
      <c r="K32" s="146" t="s">
        <v>28</v>
      </c>
      <c r="L32" s="147" t="s">
        <v>27</v>
      </c>
      <c r="M32" s="148" t="s">
        <v>25</v>
      </c>
      <c r="N32" s="173" t="s">
        <v>28</v>
      </c>
      <c r="O32" s="147" t="s">
        <v>27</v>
      </c>
      <c r="P32" s="172" t="s">
        <v>25</v>
      </c>
      <c r="Q32" s="146" t="s">
        <v>28</v>
      </c>
      <c r="R32" s="147" t="s">
        <v>27</v>
      </c>
      <c r="S32" s="148" t="s">
        <v>25</v>
      </c>
      <c r="T32" s="146" t="s">
        <v>28</v>
      </c>
      <c r="U32" s="147" t="s">
        <v>27</v>
      </c>
      <c r="V32" s="148" t="s">
        <v>25</v>
      </c>
      <c r="W32" s="146" t="s">
        <v>28</v>
      </c>
      <c r="X32" s="147" t="s">
        <v>27</v>
      </c>
      <c r="Y32" s="148" t="s">
        <v>25</v>
      </c>
      <c r="Z32" s="146" t="s">
        <v>28</v>
      </c>
      <c r="AA32" s="147" t="s">
        <v>27</v>
      </c>
      <c r="AB32" s="148" t="s">
        <v>25</v>
      </c>
      <c r="AC32" s="146" t="s">
        <v>28</v>
      </c>
      <c r="AD32" s="147" t="s">
        <v>27</v>
      </c>
      <c r="AE32" s="148" t="s">
        <v>25</v>
      </c>
      <c r="AF32" s="146" t="s">
        <v>28</v>
      </c>
      <c r="AG32" s="147" t="s">
        <v>27</v>
      </c>
      <c r="AH32" s="148" t="s">
        <v>25</v>
      </c>
      <c r="AI32" s="146" t="s">
        <v>28</v>
      </c>
      <c r="AJ32" s="147" t="s">
        <v>27</v>
      </c>
      <c r="AK32" s="148" t="s">
        <v>25</v>
      </c>
      <c r="AL32" s="146" t="s">
        <v>28</v>
      </c>
      <c r="AM32" s="147" t="s">
        <v>27</v>
      </c>
      <c r="AN32" s="148" t="s">
        <v>25</v>
      </c>
      <c r="AO32" s="146" t="s">
        <v>28</v>
      </c>
      <c r="AP32" s="147" t="s">
        <v>27</v>
      </c>
      <c r="AQ32" s="148" t="s">
        <v>25</v>
      </c>
      <c r="AR32" s="146" t="s">
        <v>28</v>
      </c>
      <c r="AS32" s="147" t="s">
        <v>27</v>
      </c>
      <c r="AT32" s="148" t="s">
        <v>25</v>
      </c>
      <c r="AU32" s="146" t="s">
        <v>28</v>
      </c>
      <c r="AV32" s="147" t="s">
        <v>27</v>
      </c>
      <c r="AW32" s="148" t="s">
        <v>25</v>
      </c>
      <c r="AX32" s="146" t="s">
        <v>28</v>
      </c>
      <c r="AY32" s="147" t="s">
        <v>27</v>
      </c>
      <c r="AZ32" s="148" t="s">
        <v>25</v>
      </c>
    </row>
    <row r="33" spans="2:53" x14ac:dyDescent="0.25">
      <c r="B33" s="149">
        <f>IF(B8="","",IF($A$2="°F",Patrones!B8*1.8+32,Patrones!B8))</f>
        <v>-80.066000000000003</v>
      </c>
      <c r="C33" s="150">
        <f>IF(C8="","",IF($A$2="°F",Patrones!C8*1.8+32,Patrones!C8))</f>
        <v>-0.113</v>
      </c>
      <c r="D33" s="151">
        <f>IF(D8="","",IF($A$2="°F",Patrones!D8*1.8+32,Patrones!D8))</f>
        <v>3.5999999999999997E-2</v>
      </c>
      <c r="E33" s="149">
        <f>IF(E8="","",IF($A$2="°F",Patrones!E8*1.8+32,Patrones!E8))</f>
        <v>-80.099999999999994</v>
      </c>
      <c r="F33" s="150">
        <f>IF(F8="","",IF($A$2="°F",Patrones!F8*1.8+32,Patrones!F8))</f>
        <v>-0.122</v>
      </c>
      <c r="G33" s="151">
        <f>IF(G8="","",IF($A$2="°F",Patrones!G8*1.8+32,Patrones!G8))</f>
        <v>0.04</v>
      </c>
      <c r="H33" s="149">
        <f>IF(H8="","",IF($A$2="°F",Patrones!H8*1.8+32,Patrones!H8))</f>
        <v>-80.739999999999995</v>
      </c>
      <c r="I33" s="150">
        <f>IF(I8="","",IF($A$2="°F",Patrones!I8*1.8+32,Patrones!I8))</f>
        <v>8.0000000000000002E-3</v>
      </c>
      <c r="J33" s="151">
        <f>IF(J8="","",IF($A$2="°F",Patrones!J8*1.8+32,Patrones!J8))</f>
        <v>6.7000000000000004E-2</v>
      </c>
      <c r="K33" s="149">
        <f>IF(K8="","",IF($A$2="°F",Patrones!K8*1.8+32,Patrones!K8))</f>
        <v>-24.9</v>
      </c>
      <c r="L33" s="150">
        <f>IF(L8="","",IF($A$2="°F",Patrones!L8*1.8+32,Patrones!L8))</f>
        <v>0.1</v>
      </c>
      <c r="M33" s="151">
        <f>IF(M8="","",IF($A$2="°F",Patrones!M8*1.8+32,Patrones!M8))</f>
        <v>0.54</v>
      </c>
      <c r="N33" s="149">
        <f>IF(N8="","",IF($A$2="°F",Patrones!N8*1.8+32,Patrones!N8))</f>
        <v>-81.462000000000003</v>
      </c>
      <c r="O33" s="150">
        <f>IF(O8="","",IF($A$2="°F",Patrones!O8*1.8+32,Patrones!O8))</f>
        <v>2.58E-2</v>
      </c>
      <c r="P33" s="151">
        <f>IF(P8="","",IF($A$2="°F",Patrones!P8*1.8+32,Patrones!P8))</f>
        <v>1.7999999999999999E-2</v>
      </c>
      <c r="Q33" s="149">
        <f>IF(Q8="","",IF($A$2="°F",Patrones!Q8*1.8+32,Patrones!Q8))</f>
        <v>-80.150000000000006</v>
      </c>
      <c r="R33" s="150">
        <f>IF(R8="","",IF($A$2="°F",Patrones!R8*1.8+32,Patrones!R8))</f>
        <v>-0.16600000000000001</v>
      </c>
      <c r="S33" s="151">
        <f>IF(S8="","",IF($A$2="°F",Patrones!S8*1.8+32,Patrones!S8))</f>
        <v>5.6000000000000001E-2</v>
      </c>
      <c r="T33" s="149">
        <f>IF(T8="","",IF($A$2="°F",Patrones!T8*1.8+32,Patrones!T8))</f>
        <v>-81.8</v>
      </c>
      <c r="U33" s="150">
        <v>0</v>
      </c>
      <c r="V33" s="151">
        <f>IF(V8="","",IF($A$2="°F",Patrones!V8*1.8+32,Patrones!V8))</f>
        <v>0.13600000000000001</v>
      </c>
      <c r="W33" s="163" t="e">
        <f t="shared" ref="W33:W56" si="2">IF(W8="","",(HLOOKUP($A$2,$C$1:$S$2,2,FALSE))*W8/(HLOOKUP(Y$6,$C$1:$S$2,2,FALSE)))</f>
        <v>#N/A</v>
      </c>
      <c r="X33" s="156" t="e">
        <f t="shared" ref="X33:X56" si="3">IF(X8="","",(HLOOKUP($A$2,$C$1:$S$2,2,FALSE))*X8/(HLOOKUP(Y$6,$C$1:$S$2,2,FALSE)))</f>
        <v>#N/A</v>
      </c>
      <c r="Y33" s="157" t="e">
        <f t="shared" ref="Y33:Y56" si="4">IF(Y8="","",(HLOOKUP($A$2,$C$1:$S$2,2,FALSE))*Y8/(HLOOKUP(Y$6,$C$1:$S$2,2,FALSE)))</f>
        <v>#N/A</v>
      </c>
      <c r="Z33" s="149">
        <f>IF(Z8="","",IF($A$2="°F",Patrones!Z8*1.8+32,Patrones!Z8))</f>
        <v>-24.99</v>
      </c>
      <c r="AA33" s="150">
        <f>IF(AA8="","",IF($A$2="°F",Patrones!AA8*1.8+32,Patrones!AA8))</f>
        <v>0</v>
      </c>
      <c r="AB33" s="151">
        <f>IF(AB8="","",IF($A$2="°F",Patrones!AB8*1.8+32,Patrones!AB8))</f>
        <v>0.13</v>
      </c>
      <c r="AC33" s="149">
        <f>IF(AC8="","",IF($A$2="°F",Patrones!AC8*1.8+32,Patrones!AC8))</f>
        <v>-25.03</v>
      </c>
      <c r="AD33" s="150">
        <f>IF(AD8="","",IF($A$2="°F",Patrones!AD8*1.8+32,Patrones!AD8))</f>
        <v>0.04</v>
      </c>
      <c r="AE33" s="151">
        <f>IF(AE8="","",IF($A$2="°F",Patrones!AE8*1.8+32,Patrones!AE8))</f>
        <v>0.13</v>
      </c>
      <c r="AF33" s="149">
        <f>IF(AF8="","",IF($A$2="°F",Patrones!AF8*1.8+32,Patrones!AF8))</f>
        <v>-25.04</v>
      </c>
      <c r="AG33" s="150">
        <f>IF(AG8="","",IF($A$2="°F",Patrones!AG8*1.8+32,Patrones!AG8))</f>
        <v>0.05</v>
      </c>
      <c r="AH33" s="151">
        <f>IF(AH8="","",IF($A$2="°F",Patrones!AH8*1.8+32,Patrones!AH8))</f>
        <v>0.13</v>
      </c>
      <c r="AI33" s="149">
        <f>IF(AI8="","",IF($A$2="°F",Patrones!AI8*1.8+32,Patrones!AI8))</f>
        <v>-25.04</v>
      </c>
      <c r="AJ33" s="150">
        <f>IF(AJ8="","",IF($A$2="°F",Patrones!AJ8*1.8+32,Patrones!AJ8))</f>
        <v>0.04</v>
      </c>
      <c r="AK33" s="151">
        <f>IF(AK8="","",IF($A$2="°F",Patrones!AK8*1.8+32,Patrones!AK8))</f>
        <v>0.13</v>
      </c>
      <c r="AL33" s="149">
        <f>IF(AL8="","",IF($A$2="°F",Patrones!AL8*1.8+32,Patrones!AL8))</f>
        <v>-89.8</v>
      </c>
      <c r="AM33" s="150">
        <f>IF(AM8="","",IF($A$2="°F",Patrones!AM8*1.8+32,Patrones!AM8))</f>
        <v>0.16400000000000001</v>
      </c>
      <c r="AN33" s="151">
        <f>IF(AN8="","",IF($A$2="°F",Patrones!AN8*1.8+32,Patrones!AN8))</f>
        <v>0.14599999999999999</v>
      </c>
      <c r="AO33" s="149">
        <f>IF(AO8="","",IF($A$2="°F",Patrones!AO8*1.8+32,Patrones!AO8))</f>
        <v>-25.1</v>
      </c>
      <c r="AP33" s="150">
        <f>IF(AP8="","",IF($A$2="°F",Patrones!AP8*1.8+32,Patrones!AP8))</f>
        <v>-0.05</v>
      </c>
      <c r="AQ33" s="151">
        <f>IF(AQ8="","",IF($A$2="°F",Patrones!AQ8*1.8+32,Patrones!AQ8))</f>
        <v>0.54</v>
      </c>
      <c r="AR33" s="149">
        <f>IF(AR8="","",IF($A$2="°F",Patrones!AR8*1.8+32,Patrones!AR8))</f>
        <v>-25</v>
      </c>
      <c r="AS33" s="150">
        <f>IF(AS8="","",IF($A$2="°F",Patrones!AS8*1.8+32,Patrones!AS8))</f>
        <v>0.05</v>
      </c>
      <c r="AT33" s="151">
        <f>IF(AT8="","",IF($A$2="°F",Patrones!AT8*1.8+32,Patrones!AT8))</f>
        <v>0.54</v>
      </c>
      <c r="AU33" s="149">
        <f>IF(AU8="","",IF($A$2="°F",Patrones!AU8*1.8+32,Patrones!AU8))</f>
        <v>20.52</v>
      </c>
      <c r="AV33" s="150">
        <f>IF(AV8="","",IF($A$2="°F",Patrones!AV8*1.8+32,Patrones!AV8))</f>
        <v>-0.01</v>
      </c>
      <c r="AW33" s="151">
        <f>IF(AW8="","",IF($A$2="°F",Patrones!AW8*1.8+32,Patrones!AW8))</f>
        <v>0.1</v>
      </c>
      <c r="AX33" s="149">
        <f>IF(AX8="","",IF($A$2="°F",Patrones!AX8*1.8+32,Patrones!AX8))</f>
        <v>20.56</v>
      </c>
      <c r="AY33" s="150">
        <f>IF(AY8="","",IF($A$2="°F",Patrones!AY8*1.8+32,Patrones!AY8))</f>
        <v>0.02</v>
      </c>
      <c r="AZ33" s="151">
        <f>IF(AZ8="","",IF($A$2="°F",Patrones!AZ8*1.8+32,Patrones!AZ8))</f>
        <v>0.1</v>
      </c>
      <c r="BA33" s="132">
        <v>1</v>
      </c>
    </row>
    <row r="34" spans="2:53" x14ac:dyDescent="0.25">
      <c r="B34" s="149">
        <f>IF(B9="","",IF($A$2="°F",Patrones!B9*1.8+32,Patrones!B9))</f>
        <v>-60.009</v>
      </c>
      <c r="C34" s="150">
        <f>IF(C9="","",IF($A$2="°F",Patrones!C9*1.8+32,Patrones!C9))</f>
        <v>-6.8000000000000005E-2</v>
      </c>
      <c r="D34" s="151">
        <f>IF(D9="","",IF($A$2="°F",Patrones!D9*1.8+32,Patrones!D9))</f>
        <v>3.5999999999999997E-2</v>
      </c>
      <c r="E34" s="149">
        <f>IF(E9="","",IF($A$2="°F",Patrones!E9*1.8+32,Patrones!E9))</f>
        <v>-40.1</v>
      </c>
      <c r="F34" s="150">
        <f>IF(F9="","",IF($A$2="°F",Patrones!F9*1.8+32,Patrones!F9))</f>
        <v>-9.9000000000000005E-2</v>
      </c>
      <c r="G34" s="151">
        <f>IF(G9="","",IF($A$2="°F",Patrones!G9*1.8+32,Patrones!G9))</f>
        <v>3.0499999999999999E-2</v>
      </c>
      <c r="H34" s="149">
        <f>IF(H9="","",IF($A$2="°F",Patrones!H9*1.8+32,Patrones!H9))</f>
        <v>-49.747</v>
      </c>
      <c r="I34" s="150">
        <f>IF(I9="","",IF($A$2="°F",Patrones!I9*1.8+32,Patrones!I9))</f>
        <v>-3.0000000000000001E-3</v>
      </c>
      <c r="J34" s="151">
        <f>IF(J9="","",IF($A$2="°F",Patrones!J9*1.8+32,Patrones!J9))</f>
        <v>6.7000000000000004E-2</v>
      </c>
      <c r="K34" s="149">
        <f>IF(K9="","",IF($A$2="°F",Patrones!K9*1.8+32,Patrones!K9))</f>
        <v>-9.8000000000000007</v>
      </c>
      <c r="L34" s="150">
        <f>IF(L9="","",IF($A$2="°F",Patrones!L9*1.8+32,Patrones!L9))</f>
        <v>0.2</v>
      </c>
      <c r="M34" s="151">
        <f>IF(M9="","",IF($A$2="°F",Patrones!M9*1.8+32,Patrones!M9))</f>
        <v>0.6</v>
      </c>
      <c r="N34" s="149">
        <f>IF(N9="","",IF($A$2="°F",Patrones!N9*1.8+32,Patrones!N9))</f>
        <v>-30.184000000000001</v>
      </c>
      <c r="O34" s="150">
        <f>IF(O9="","",IF($A$2="°F",Patrones!O9*1.8+32,Patrones!O9))</f>
        <v>-8.3000000000000001E-3</v>
      </c>
      <c r="P34" s="151">
        <f>IF(P9="","",IF($A$2="°F",Patrones!P9*1.8+32,Patrones!P9))</f>
        <v>1.7999999999999999E-2</v>
      </c>
      <c r="Q34" s="149">
        <f>IF(Q9="","",IF($A$2="°F",Patrones!Q9*1.8+32,Patrones!Q9))</f>
        <v>-40.11</v>
      </c>
      <c r="R34" s="150">
        <f>IF(R9="","",IF($A$2="°F",Patrones!R9*1.8+32,Patrones!R9))</f>
        <v>-9.1999999999999998E-2</v>
      </c>
      <c r="S34" s="151">
        <f>IF(S9="","",IF($A$2="°F",Patrones!S9*1.8+32,Patrones!S9))</f>
        <v>2.1999999999999999E-2</v>
      </c>
      <c r="T34" s="149">
        <f>IF(T9="","",IF($A$2="°F",Patrones!T9*1.8+32,Patrones!T9))</f>
        <v>-49.9</v>
      </c>
      <c r="U34" s="150">
        <v>0</v>
      </c>
      <c r="V34" s="151">
        <f>IF(V9="","",IF($A$2="°F",Patrones!V9*1.8+32,Patrones!V9))</f>
        <v>0.13600000000000001</v>
      </c>
      <c r="W34" s="163" t="e">
        <f t="shared" si="2"/>
        <v>#N/A</v>
      </c>
      <c r="X34" s="158" t="e">
        <f t="shared" si="3"/>
        <v>#N/A</v>
      </c>
      <c r="Y34" s="159" t="e">
        <f t="shared" si="4"/>
        <v>#N/A</v>
      </c>
      <c r="Z34" s="149">
        <f>IF(Z9="","",IF($A$2="°F",Patrones!Z9*1.8+32,Patrones!Z9))</f>
        <v>-19.989999999999998</v>
      </c>
      <c r="AA34" s="150">
        <f>IF(AA9="","",IF($A$2="°F",Patrones!AA9*1.8+32,Patrones!AA9))</f>
        <v>0</v>
      </c>
      <c r="AB34" s="151">
        <f>IF(AB9="","",IF($A$2="°F",Patrones!AB9*1.8+32,Patrones!AB9))</f>
        <v>0.13</v>
      </c>
      <c r="AC34" s="149">
        <f>IF(AC9="","",IF($A$2="°F",Patrones!AC9*1.8+32,Patrones!AC9))</f>
        <v>-20.03</v>
      </c>
      <c r="AD34" s="150">
        <f>IF(AD9="","",IF($A$2="°F",Patrones!AD9*1.8+32,Patrones!AD9))</f>
        <v>0.04</v>
      </c>
      <c r="AE34" s="151">
        <f>IF(AE9="","",IF($A$2="°F",Patrones!AE9*1.8+32,Patrones!AE9))</f>
        <v>0.13</v>
      </c>
      <c r="AF34" s="149">
        <f>IF(AF9="","",IF($A$2="°F",Patrones!AF9*1.8+32,Patrones!AF9))</f>
        <v>-20.03</v>
      </c>
      <c r="AG34" s="150">
        <f>IF(AG9="","",IF($A$2="°F",Patrones!AG9*1.8+32,Patrones!AG9))</f>
        <v>0.03</v>
      </c>
      <c r="AH34" s="151">
        <f>IF(AH9="","",IF($A$2="°F",Patrones!AH9*1.8+32,Patrones!AH9))</f>
        <v>0.13</v>
      </c>
      <c r="AI34" s="149">
        <f>IF(AI9="","",IF($A$2="°F",Patrones!AI9*1.8+32,Patrones!AI9))</f>
        <v>-20.010000000000002</v>
      </c>
      <c r="AJ34" s="150">
        <f>IF(AJ9="","",IF($A$2="°F",Patrones!AJ9*1.8+32,Patrones!AJ9))</f>
        <v>0.02</v>
      </c>
      <c r="AK34" s="151">
        <f>IF(AK9="","",IF($A$2="°F",Patrones!AK9*1.8+32,Patrones!AK9))</f>
        <v>0.13</v>
      </c>
      <c r="AL34" s="149">
        <f>IF(AL9="","",IF($A$2="°F",Patrones!AL9*1.8+32,Patrones!AL9))</f>
        <v>-59.9</v>
      </c>
      <c r="AM34" s="150">
        <f>IF(AM9="","",IF($A$2="°F",Patrones!AM9*1.8+32,Patrones!AM9))</f>
        <v>5.7000000000000002E-2</v>
      </c>
      <c r="AN34" s="151">
        <f>IF(AN9="","",IF($A$2="°F",Patrones!AN9*1.8+32,Patrones!AN9))</f>
        <v>0.153</v>
      </c>
      <c r="AO34" s="149">
        <f>IF(AO9="","",IF($A$2="°F",Patrones!AO9*1.8+32,Patrones!AO9))</f>
        <v>-10.1</v>
      </c>
      <c r="AP34" s="150">
        <f>IF(AP9="","",IF($A$2="°F",Patrones!AP9*1.8+32,Patrones!AP9))</f>
        <v>-0.08</v>
      </c>
      <c r="AQ34" s="151">
        <f>IF(AQ9="","",IF($A$2="°F",Patrones!AQ9*1.8+32,Patrones!AQ9))</f>
        <v>0.54</v>
      </c>
      <c r="AR34" s="149">
        <f>IF(AR9="","",IF($A$2="°F",Patrones!AR9*1.8+32,Patrones!AR9))</f>
        <v>-10.199999999999999</v>
      </c>
      <c r="AS34" s="150">
        <f>IF(AS9="","",IF($A$2="°F",Patrones!AS9*1.8+32,Patrones!AS9))</f>
        <v>-0.18</v>
      </c>
      <c r="AT34" s="151">
        <f>IF(AT9="","",IF($A$2="°F",Patrones!AT9*1.8+32,Patrones!AT9))</f>
        <v>0.54</v>
      </c>
      <c r="AU34" s="149">
        <f>IF(AU9="","",IF($A$2="°F",Patrones!AU9*1.8+32,Patrones!AU9))</f>
        <v>36.630000000000003</v>
      </c>
      <c r="AV34" s="150">
        <f>IF(AV9="","",IF($A$2="°F",Patrones!AV9*1.8+32,Patrones!AV9))</f>
        <v>0.01</v>
      </c>
      <c r="AW34" s="151">
        <f>IF(AW9="","",IF($A$2="°F",Patrones!AW9*1.8+32,Patrones!AW9))</f>
        <v>0.1</v>
      </c>
      <c r="AX34" s="149">
        <f>IF(AX9="","",IF($A$2="°F",Patrones!AX9*1.8+32,Patrones!AX9))</f>
        <v>36.67</v>
      </c>
      <c r="AY34" s="150">
        <f>IF(AY9="","",IF($A$2="°F",Patrones!AY9*1.8+32,Patrones!AY9))</f>
        <v>7.0000000000000007E-2</v>
      </c>
      <c r="AZ34" s="151">
        <f>IF(AZ9="","",IF($A$2="°F",Patrones!AZ9*1.8+32,Patrones!AZ9))</f>
        <v>0.1</v>
      </c>
      <c r="BA34" s="132">
        <v>2</v>
      </c>
    </row>
    <row r="35" spans="2:53" x14ac:dyDescent="0.25">
      <c r="B35" s="149">
        <f>IF(B10="","",IF($A$2="°F",Patrones!B10*1.8+32,Patrones!B10))</f>
        <v>-40.042999999999999</v>
      </c>
      <c r="C35" s="150">
        <f>IF(C10="","",IF($A$2="°F",Patrones!C10*1.8+32,Patrones!C10))</f>
        <v>-9.8000000000000004E-2</v>
      </c>
      <c r="D35" s="151">
        <f>IF(D10="","",IF($A$2="°F",Patrones!D10*1.8+32,Patrones!D10))</f>
        <v>3.5999999999999997E-2</v>
      </c>
      <c r="E35" s="149">
        <f>IF(E10="","",IF($A$2="°F",Patrones!E10*1.8+32,Patrones!E10))</f>
        <v>-20.2</v>
      </c>
      <c r="F35" s="150">
        <f>IF(F10="","",IF($A$2="°F",Patrones!F10*1.8+32,Patrones!F10))</f>
        <v>-0.16</v>
      </c>
      <c r="G35" s="151">
        <f>IF(G10="","",IF($A$2="°F",Patrones!G10*1.8+32,Patrones!G10))</f>
        <v>0.03</v>
      </c>
      <c r="H35" s="149">
        <f>IF(H10="","",IF($A$2="°F",Patrones!H10*1.8+32,Patrones!H10))</f>
        <v>-24.684000000000001</v>
      </c>
      <c r="I35" s="150">
        <f>IF(I10="","",IF($A$2="°F",Patrones!I10*1.8+32,Patrones!I10))</f>
        <v>-1.0999999999999999E-2</v>
      </c>
      <c r="J35" s="151">
        <f>IF(J10="","",IF($A$2="°F",Patrones!J10*1.8+32,Patrones!J10))</f>
        <v>7.0999999999999994E-2</v>
      </c>
      <c r="K35" s="149">
        <f>IF(K10="","",IF($A$2="°F",Patrones!K10*1.8+32,Patrones!K10))</f>
        <v>0.14000000000000001</v>
      </c>
      <c r="L35" s="150">
        <f>IF(L10="","",IF($A$2="°F",Patrones!L10*1.8+32,Patrones!L10))</f>
        <v>0.14000000000000001</v>
      </c>
      <c r="M35" s="151">
        <f>IF(M10="","",IF($A$2="°F",Patrones!M10*1.8+32,Patrones!M10))</f>
        <v>0.54</v>
      </c>
      <c r="N35" s="149">
        <f>IF(N10="","",IF($A$2="°F",Patrones!N10*1.8+32,Patrones!N10))</f>
        <v>-20.143999999999998</v>
      </c>
      <c r="O35" s="150">
        <f>IF(O10="","",IF($A$2="°F",Patrones!O10*1.8+32,Patrones!O10))</f>
        <v>-8.6E-3</v>
      </c>
      <c r="P35" s="151">
        <f>IF(P10="","",IF($A$2="°F",Patrones!P10*1.8+32,Patrones!P10))</f>
        <v>1.7999999999999999E-2</v>
      </c>
      <c r="Q35" s="149">
        <f>IF(Q10="","",IF($A$2="°F",Patrones!Q10*1.8+32,Patrones!Q10))</f>
        <v>-19.940000000000001</v>
      </c>
      <c r="R35" s="150">
        <f>IF(R10="","",IF($A$2="°F",Patrones!R10*1.8+32,Patrones!R10))</f>
        <v>6.2E-2</v>
      </c>
      <c r="S35" s="151">
        <f>IF(S10="","",IF($A$2="°F",Patrones!S10*1.8+32,Patrones!S10))</f>
        <v>2.1999999999999999E-2</v>
      </c>
      <c r="T35" s="149">
        <f>IF(T10="","",IF($A$2="°F",Patrones!T10*1.8+32,Patrones!T10))</f>
        <v>-30</v>
      </c>
      <c r="U35" s="150">
        <v>0</v>
      </c>
      <c r="V35" s="151">
        <f>IF(V10="","",IF($A$2="°F",Patrones!V10*1.8+32,Patrones!V10))</f>
        <v>0.13600000000000001</v>
      </c>
      <c r="W35" s="163" t="e">
        <f t="shared" si="2"/>
        <v>#N/A</v>
      </c>
      <c r="X35" s="158" t="e">
        <f t="shared" si="3"/>
        <v>#N/A</v>
      </c>
      <c r="Y35" s="159" t="e">
        <f t="shared" si="4"/>
        <v>#N/A</v>
      </c>
      <c r="Z35" s="149">
        <f>IF(Z10="","",IF($A$2="°F",Patrones!Z10*1.8+32,Patrones!Z10))</f>
        <v>-0.01</v>
      </c>
      <c r="AA35" s="150">
        <f>IF(AA10="","",IF($A$2="°F",Patrones!AA10*1.8+32,Patrones!AA10))</f>
        <v>0</v>
      </c>
      <c r="AB35" s="151">
        <f>IF(AB10="","",IF($A$2="°F",Patrones!AB10*1.8+32,Patrones!AB10))</f>
        <v>0.13</v>
      </c>
      <c r="AC35" s="149">
        <f>IF(AC10="","",IF($A$2="°F",Patrones!AC10*1.8+32,Patrones!AC10))</f>
        <v>-0.02</v>
      </c>
      <c r="AD35" s="150">
        <f>IF(AD10="","",IF($A$2="°F",Patrones!AD10*1.8+32,Patrones!AD10))</f>
        <v>0</v>
      </c>
      <c r="AE35" s="151">
        <f>IF(AE10="","",IF($A$2="°F",Patrones!AE10*1.8+32,Patrones!AE10))</f>
        <v>0.13</v>
      </c>
      <c r="AF35" s="149">
        <f>IF(AF10="","",IF($A$2="°F",Patrones!AF10*1.8+32,Patrones!AF10))</f>
        <v>0</v>
      </c>
      <c r="AG35" s="150">
        <f>IF(AG10="","",IF($A$2="°F",Patrones!AG10*1.8+32,Patrones!AG10))</f>
        <v>0.02</v>
      </c>
      <c r="AH35" s="151">
        <f>IF(AH10="","",IF($A$2="°F",Patrones!AH10*1.8+32,Patrones!AH10))</f>
        <v>0.13</v>
      </c>
      <c r="AI35" s="149">
        <f>IF(AI10="","",IF($A$2="°F",Patrones!AI10*1.8+32,Patrones!AI10))</f>
        <v>0.03</v>
      </c>
      <c r="AJ35" s="150">
        <f>IF(AJ10="","",IF($A$2="°F",Patrones!AJ10*1.8+32,Patrones!AJ10))</f>
        <v>0.04</v>
      </c>
      <c r="AK35" s="151">
        <f>IF(AK10="","",IF($A$2="°F",Patrones!AK10*1.8+32,Patrones!AK10))</f>
        <v>0.13</v>
      </c>
      <c r="AL35" s="149">
        <f>IF(AL10="","",IF($A$2="°F",Patrones!AL10*1.8+32,Patrones!AL10))</f>
        <v>-39.9</v>
      </c>
      <c r="AM35" s="150">
        <f>IF(AM10="","",IF($A$2="°F",Patrones!AM10*1.8+32,Patrones!AM10))</f>
        <v>8.4000000000000005E-2</v>
      </c>
      <c r="AN35" s="151">
        <f>IF(AN10="","",IF($A$2="°F",Patrones!AN10*1.8+32,Patrones!AN10))</f>
        <v>0.153</v>
      </c>
      <c r="AO35" s="149">
        <f>IF(AO10="","",IF($A$2="°F",Patrones!AO10*1.8+32,Patrones!AO10))</f>
        <v>-0.2</v>
      </c>
      <c r="AP35" s="150">
        <f>IF(AP10="","",IF($A$2="°F",Patrones!AP10*1.8+32,Patrones!AP10))</f>
        <v>-0.18</v>
      </c>
      <c r="AQ35" s="151">
        <f>IF(AQ10="","",IF($A$2="°F",Patrones!AQ10*1.8+32,Patrones!AQ10))</f>
        <v>0.54</v>
      </c>
      <c r="AR35" s="149">
        <f>IF(AR10="","",IF($A$2="°F",Patrones!AR10*1.8+32,Patrones!AR10))</f>
        <v>-0.2</v>
      </c>
      <c r="AS35" s="150">
        <f>IF(AS10="","",IF($A$2="°F",Patrones!AS10*1.8+32,Patrones!AS10))</f>
        <v>-0.18</v>
      </c>
      <c r="AT35" s="151">
        <f>IF(AT10="","",IF($A$2="°F",Patrones!AT10*1.8+32,Patrones!AT10))</f>
        <v>0.54</v>
      </c>
      <c r="AU35" s="149">
        <f>IF(AU10="","",IF($A$2="°F",Patrones!AU10*1.8+32,Patrones!AU10))</f>
        <v>40.33</v>
      </c>
      <c r="AV35" s="150">
        <f>IF(AV10="","",IF($A$2="°F",Patrones!AV10*1.8+32,Patrones!AV10))</f>
        <v>0.03</v>
      </c>
      <c r="AW35" s="151">
        <f>IF(AW10="","",IF($A$2="°F",Patrones!AW10*1.8+32,Patrones!AW10))</f>
        <v>0.1</v>
      </c>
      <c r="AX35" s="149" t="str">
        <f>IF(AX10="","",IF($A$2="°F",Patrones!AX10*1.8+32,Patrones!AX10))</f>
        <v/>
      </c>
      <c r="AY35" s="150" t="str">
        <f>IF(AY10="","",IF($A$2="°F",Patrones!AY10*1.8+32,Patrones!AY10))</f>
        <v/>
      </c>
      <c r="AZ35" s="151" t="str">
        <f>IF(AZ10="","",IF($A$2="°F",Patrones!AZ10*1.8+32,Patrones!AZ10))</f>
        <v/>
      </c>
      <c r="BA35" s="132">
        <v>3</v>
      </c>
    </row>
    <row r="36" spans="2:53" x14ac:dyDescent="0.25">
      <c r="B36" s="149">
        <f>IF(B11="","",IF($A$2="°F",Patrones!B11*1.8+32,Patrones!B11))</f>
        <v>-20.036000000000001</v>
      </c>
      <c r="C36" s="150">
        <f>IF(C11="","",IF($A$2="°F",Patrones!C11*1.8+32,Patrones!C11))</f>
        <v>-7.9000000000000001E-2</v>
      </c>
      <c r="D36" s="151">
        <f>IF(D11="","",IF($A$2="°F",Patrones!D11*1.8+32,Patrones!D11))</f>
        <v>3.5999999999999997E-2</v>
      </c>
      <c r="E36" s="149">
        <f>IF(E11="","",IF($A$2="°F",Patrones!E11*1.8+32,Patrones!E11))</f>
        <v>-0.2</v>
      </c>
      <c r="F36" s="150">
        <f>IF(F11="","",IF($A$2="°F",Patrones!F11*1.8+32,Patrones!F11))</f>
        <v>-0.13600000000000001</v>
      </c>
      <c r="G36" s="151">
        <f>IF(G11="","",IF($A$2="°F",Patrones!G11*1.8+32,Patrones!G11))</f>
        <v>2.9499999999999998E-2</v>
      </c>
      <c r="H36" s="149">
        <f>IF(H11="","",IF($A$2="°F",Patrones!H11*1.8+32,Patrones!H11))</f>
        <v>0.35299999999999998</v>
      </c>
      <c r="I36" s="150">
        <f>IF(I11="","",IF($A$2="°F",Patrones!I11*1.8+32,Patrones!I11))</f>
        <v>6.0000000000000001E-3</v>
      </c>
      <c r="J36" s="151">
        <f>IF(J11="","",IF($A$2="°F",Patrones!J11*1.8+32,Patrones!J11))</f>
        <v>6.7000000000000004E-2</v>
      </c>
      <c r="K36" s="149">
        <f>IF(K11="","",IF($A$2="°F",Patrones!K11*1.8+32,Patrones!K11))</f>
        <v>14.9</v>
      </c>
      <c r="L36" s="150">
        <f>IF(L11="","",IF($A$2="°F",Patrones!L11*1.8+32,Patrones!L11))</f>
        <v>-0.1</v>
      </c>
      <c r="M36" s="151">
        <f>IF(M11="","",IF($A$2="°F",Patrones!M11*1.8+32,Patrones!M11))</f>
        <v>0.54</v>
      </c>
      <c r="N36" s="149">
        <f>IF(N11="","",IF($A$2="°F",Patrones!N11*1.8+32,Patrones!N11))</f>
        <v>-4.9000000000000002E-2</v>
      </c>
      <c r="O36" s="150">
        <f>IF(O11="","",IF($A$2="°F",Patrones!O11*1.8+32,Patrones!O11))</f>
        <v>-1.9800000000000002E-2</v>
      </c>
      <c r="P36" s="151">
        <f>IF(P11="","",IF($A$2="°F",Patrones!P11*1.8+32,Patrones!P11))</f>
        <v>1.7999999999999999E-2</v>
      </c>
      <c r="Q36" s="149">
        <f>IF(Q11="","",IF($A$2="°F",Patrones!Q11*1.8+32,Patrones!Q11))</f>
        <v>0.16</v>
      </c>
      <c r="R36" s="150">
        <f>IF(R11="","",IF($A$2="°F",Patrones!R11*1.8+32,Patrones!R11))</f>
        <v>0.23699999999999999</v>
      </c>
      <c r="S36" s="151">
        <f>IF(S11="","",IF($A$2="°F",Patrones!S11*1.8+32,Patrones!S11))</f>
        <v>1.6E-2</v>
      </c>
      <c r="T36" s="149">
        <f>IF(T11="","",IF($A$2="°F",Patrones!T11*1.8+32,Patrones!T11))</f>
        <v>-9.3000000000000007</v>
      </c>
      <c r="U36" s="150">
        <f>IF(U11="","",IF($A$2="°F",Patrones!U11*1.8+32,Patrones!U11))</f>
        <v>0.126</v>
      </c>
      <c r="V36" s="151">
        <f>IF(V11="","",IF($A$2="°F",Patrones!V11*1.8+32,Patrones!V11))</f>
        <v>0.13600000000000001</v>
      </c>
      <c r="W36" s="163" t="e">
        <f t="shared" si="2"/>
        <v>#N/A</v>
      </c>
      <c r="X36" s="158" t="e">
        <f t="shared" si="3"/>
        <v>#N/A</v>
      </c>
      <c r="Y36" s="159" t="e">
        <f t="shared" si="4"/>
        <v>#N/A</v>
      </c>
      <c r="Z36" s="149">
        <f>IF(Z11="","",IF($A$2="°F",Patrones!Z11*1.8+32,Patrones!Z11))</f>
        <v>4.99</v>
      </c>
      <c r="AA36" s="150">
        <f>IF(AA11="","",IF($A$2="°F",Patrones!AA11*1.8+32,Patrones!AA11))</f>
        <v>0</v>
      </c>
      <c r="AB36" s="151">
        <f>IF(AB11="","",IF($A$2="°F",Patrones!AB11*1.8+32,Patrones!AB11))</f>
        <v>0.13</v>
      </c>
      <c r="AC36" s="149">
        <f>IF(AC11="","",IF($A$2="°F",Patrones!AC11*1.8+32,Patrones!AC11))</f>
        <v>4.97</v>
      </c>
      <c r="AD36" s="150">
        <f>IF(AD11="","",IF($A$2="°F",Patrones!AD11*1.8+32,Patrones!AD11))</f>
        <v>0.01</v>
      </c>
      <c r="AE36" s="151">
        <f>IF(AE11="","",IF($A$2="°F",Patrones!AE11*1.8+32,Patrones!AE11))</f>
        <v>0.13</v>
      </c>
      <c r="AF36" s="149">
        <f>IF(AF11="","",IF($A$2="°F",Patrones!AF11*1.8+32,Patrones!AF11))</f>
        <v>4.9800000000000004</v>
      </c>
      <c r="AG36" s="150">
        <f>IF(AG11="","",IF($A$2="°F",Patrones!AG11*1.8+32,Patrones!AG11))</f>
        <v>0.01</v>
      </c>
      <c r="AH36" s="151">
        <f>IF(AH11="","",IF($A$2="°F",Patrones!AH11*1.8+32,Patrones!AH11))</f>
        <v>0.13</v>
      </c>
      <c r="AI36" s="149">
        <f>IF(AI11="","",IF($A$2="°F",Patrones!AI11*1.8+32,Patrones!AI11))</f>
        <v>4.99</v>
      </c>
      <c r="AJ36" s="150">
        <f>IF(AJ11="","",IF($A$2="°F",Patrones!AJ11*1.8+32,Patrones!AJ11))</f>
        <v>0</v>
      </c>
      <c r="AK36" s="151">
        <f>IF(AK11="","",IF($A$2="°F",Patrones!AK11*1.8+32,Patrones!AK11))</f>
        <v>0.13</v>
      </c>
      <c r="AL36" s="149">
        <f>IF(AL11="","",IF($A$2="°F",Patrones!AL11*1.8+32,Patrones!AL11))</f>
        <v>-0.1</v>
      </c>
      <c r="AM36" s="150">
        <f>IF(AM11="","",IF($A$2="°F",Patrones!AM11*1.8+32,Patrones!AM11))</f>
        <v>-6.0999999999999999E-2</v>
      </c>
      <c r="AN36" s="151">
        <f>IF(AN11="","",IF($A$2="°F",Patrones!AN11*1.8+32,Patrones!AN11))</f>
        <v>0.14599999999999999</v>
      </c>
      <c r="AO36" s="149">
        <f>IF(AO11="","",IF($A$2="°F",Patrones!AO11*1.8+32,Patrones!AO11))</f>
        <v>14.9</v>
      </c>
      <c r="AP36" s="150">
        <f>IF(AP11="","",IF($A$2="°F",Patrones!AP11*1.8+32,Patrones!AP11))</f>
        <v>-0.09</v>
      </c>
      <c r="AQ36" s="151">
        <f>IF(AQ11="","",IF($A$2="°F",Patrones!AQ11*1.8+32,Patrones!AQ11))</f>
        <v>0.54</v>
      </c>
      <c r="AR36" s="149">
        <f>IF(AR11="","",IF($A$2="°F",Patrones!AR11*1.8+32,Patrones!AR11))</f>
        <v>14.8</v>
      </c>
      <c r="AS36" s="150">
        <f>IF(AS11="","",IF($A$2="°F",Patrones!AS11*1.8+32,Patrones!AS11))</f>
        <v>-0.19</v>
      </c>
      <c r="AT36" s="151">
        <f>IF(AT11="","",IF($A$2="°F",Patrones!AT11*1.8+32,Patrones!AT11))</f>
        <v>0.54</v>
      </c>
      <c r="AU36" s="149" t="str">
        <f>IF(AU11="","",IF($A$2="°F",Patrones!AU11*1.8+32,Patrones!AU11))</f>
        <v/>
      </c>
      <c r="AV36" s="150" t="str">
        <f>IF(AV11="","",IF($A$2="°F",Patrones!AV11*1.8+32,Patrones!AV11))</f>
        <v/>
      </c>
      <c r="AW36" s="151" t="str">
        <f>IF(AW11="","",IF($A$2="°F",Patrones!AW11*1.8+32,Patrones!AW11))</f>
        <v/>
      </c>
      <c r="AX36" s="149" t="str">
        <f>IF(AX11="","",IF($A$2="°F",Patrones!AX11*1.8+32,Patrones!AX11))</f>
        <v/>
      </c>
      <c r="AY36" s="150" t="str">
        <f>IF(AY11="","",IF($A$2="°F",Patrones!AY11*1.8+32,Patrones!AY11))</f>
        <v/>
      </c>
      <c r="AZ36" s="151" t="str">
        <f>IF(AZ11="","",IF($A$2="°F",Patrones!AZ11*1.8+32,Patrones!AZ11))</f>
        <v/>
      </c>
      <c r="BA36" s="132">
        <v>4</v>
      </c>
    </row>
    <row r="37" spans="2:53" x14ac:dyDescent="0.25">
      <c r="B37" s="149">
        <f>IF(B12="","",IF($A$2="°F",Patrones!B12*1.8+32,Patrones!B12))</f>
        <v>-10.048</v>
      </c>
      <c r="C37" s="150">
        <f>IF(C12="","",IF($A$2="°F",Patrones!C12*1.8+32,Patrones!C12))</f>
        <v>-8.5000000000000006E-2</v>
      </c>
      <c r="D37" s="151">
        <f>IF(D12="","",IF($A$2="°F",Patrones!D12*1.8+32,Patrones!D12))</f>
        <v>3.5999999999999997E-2</v>
      </c>
      <c r="E37" s="149">
        <f>IF(E12="","",IF($A$2="°F",Patrones!E12*1.8+32,Patrones!E12))</f>
        <v>36.6</v>
      </c>
      <c r="F37" s="150">
        <f>IF(F12="","",IF($A$2="°F",Patrones!F12*1.8+32,Patrones!F12))</f>
        <v>-6.3E-2</v>
      </c>
      <c r="G37" s="151">
        <f>IF(G12="","",IF($A$2="°F",Patrones!G12*1.8+32,Patrones!G12))</f>
        <v>2.9499999999999998E-2</v>
      </c>
      <c r="H37" s="149">
        <f>IF(H12="","",IF($A$2="°F",Patrones!H12*1.8+32,Patrones!H12))</f>
        <v>25.033000000000001</v>
      </c>
      <c r="I37" s="150">
        <f>IF(I12="","",IF($A$2="°F",Patrones!I12*1.8+32,Patrones!I12))</f>
        <v>-4.0000000000000001E-3</v>
      </c>
      <c r="J37" s="151">
        <f>IF(J12="","",IF($A$2="°F",Patrones!J12*1.8+32,Patrones!J12))</f>
        <v>6.7000000000000004E-2</v>
      </c>
      <c r="K37" s="149">
        <f>IF(K12="","",IF($A$2="°F",Patrones!K12*1.8+32,Patrones!K12))</f>
        <v>30</v>
      </c>
      <c r="L37" s="150">
        <f>IF(L12="","",IF($A$2="°F",Patrones!L12*1.8+32,Patrones!L12))</f>
        <v>0</v>
      </c>
      <c r="M37" s="151">
        <f>IF(M12="","",IF($A$2="°F",Patrones!M12*1.8+32,Patrones!M12))</f>
        <v>0.54</v>
      </c>
      <c r="N37" s="149">
        <f>IF(N12="","",IF($A$2="°F",Patrones!N12*1.8+32,Patrones!N12))</f>
        <v>24.978999999999999</v>
      </c>
      <c r="O37" s="150">
        <f>IF(O12="","",IF($A$2="°F",Patrones!O12*1.8+32,Patrones!O12))</f>
        <v>-2.3599999999999999E-2</v>
      </c>
      <c r="P37" s="151">
        <f>IF(P12="","",IF($A$2="°F",Patrones!P12*1.8+32,Patrones!P12))</f>
        <v>1.7999999999999999E-2</v>
      </c>
      <c r="Q37" s="149">
        <f>IF(Q12="","",IF($A$2="°F",Patrones!Q12*1.8+32,Patrones!Q12))</f>
        <v>25.17</v>
      </c>
      <c r="R37" s="150">
        <f>IF(R12="","",IF($A$2="°F",Patrones!R12*1.8+32,Patrones!R12))</f>
        <v>0.32900000000000001</v>
      </c>
      <c r="S37" s="151">
        <f>IF(S12="","",IF($A$2="°F",Patrones!S12*1.8+32,Patrones!S12))</f>
        <v>1.6E-2</v>
      </c>
      <c r="T37" s="149">
        <f>IF(T12="","",IF($A$2="°F",Patrones!T12*1.8+32,Patrones!T12))</f>
        <v>-0.6</v>
      </c>
      <c r="U37" s="150">
        <f>IF(U12="","",IF($A$2="°F",Patrones!U12*1.8+32,Patrones!U12))</f>
        <v>-0.222</v>
      </c>
      <c r="V37" s="151">
        <f>IF(V12="","",IF($A$2="°F",Patrones!V12*1.8+32,Patrones!V12))</f>
        <v>0.13600000000000001</v>
      </c>
      <c r="W37" s="163" t="e">
        <f t="shared" si="2"/>
        <v>#N/A</v>
      </c>
      <c r="X37" s="158" t="e">
        <f t="shared" si="3"/>
        <v>#N/A</v>
      </c>
      <c r="Y37" s="159" t="e">
        <f t="shared" si="4"/>
        <v>#N/A</v>
      </c>
      <c r="Z37" s="149">
        <f>IF(Z12="","",IF($A$2="°F",Patrones!Z12*1.8+32,Patrones!Z12))</f>
        <v>9.99</v>
      </c>
      <c r="AA37" s="150">
        <f>IF(AA12="","",IF($A$2="°F",Patrones!AA12*1.8+32,Patrones!AA12))</f>
        <v>0</v>
      </c>
      <c r="AB37" s="151">
        <f>IF(AB12="","",IF($A$2="°F",Patrones!AB12*1.8+32,Patrones!AB12))</f>
        <v>0.13</v>
      </c>
      <c r="AC37" s="149">
        <f>IF(AC12="","",IF($A$2="°F",Patrones!AC12*1.8+32,Patrones!AC12))</f>
        <v>10</v>
      </c>
      <c r="AD37" s="150">
        <f>IF(AD12="","",IF($A$2="°F",Patrones!AD12*1.8+32,Patrones!AD12))</f>
        <v>0.01</v>
      </c>
      <c r="AE37" s="151">
        <f>IF(AE12="","",IF($A$2="°F",Patrones!AE12*1.8+32,Patrones!AE12))</f>
        <v>0.13</v>
      </c>
      <c r="AF37" s="149">
        <f>IF(AF12="","",IF($A$2="°F",Patrones!AF12*1.8+32,Patrones!AF12))</f>
        <v>9.99</v>
      </c>
      <c r="AG37" s="150">
        <f>IF(AG12="","",IF($A$2="°F",Patrones!AG12*1.8+32,Patrones!AG12))</f>
        <v>0</v>
      </c>
      <c r="AH37" s="151">
        <f>IF(AH12="","",IF($A$2="°F",Patrones!AH12*1.8+32,Patrones!AH12))</f>
        <v>0.13</v>
      </c>
      <c r="AI37" s="149">
        <f>IF(AI12="","",IF($A$2="°F",Patrones!AI12*1.8+32,Patrones!AI12))</f>
        <v>10</v>
      </c>
      <c r="AJ37" s="150">
        <f>IF(AJ12="","",IF($A$2="°F",Patrones!AJ12*1.8+32,Patrones!AJ12))</f>
        <v>0.01</v>
      </c>
      <c r="AK37" s="151">
        <f>IF(AK12="","",IF($A$2="°F",Patrones!AK12*1.8+32,Patrones!AK12))</f>
        <v>0.13</v>
      </c>
      <c r="AL37" s="149">
        <f>IF(AL12="","",IF($A$2="°F",Patrones!AL12*1.8+32,Patrones!AL12))</f>
        <v>9.9</v>
      </c>
      <c r="AM37" s="150">
        <f>IF(AM12="","",IF($A$2="°F",Patrones!AM12*1.8+32,Patrones!AM12))</f>
        <v>-8.6999999999999994E-2</v>
      </c>
      <c r="AN37" s="151">
        <f>IF(AN12="","",IF($A$2="°F",Patrones!AN12*1.8+32,Patrones!AN12))</f>
        <v>0.14599999999999999</v>
      </c>
      <c r="AO37" s="149">
        <f>IF(AO12="","",IF($A$2="°F",Patrones!AO12*1.8+32,Patrones!AO12))</f>
        <v>29.9</v>
      </c>
      <c r="AP37" s="150">
        <f>IF(AP12="","",IF($A$2="°F",Patrones!AP12*1.8+32,Patrones!AP12))</f>
        <v>-0.09</v>
      </c>
      <c r="AQ37" s="151">
        <f>IF(AQ12="","",IF($A$2="°F",Patrones!AQ12*1.8+32,Patrones!AQ12))</f>
        <v>0.54</v>
      </c>
      <c r="AR37" s="149">
        <f>IF(AR12="","",IF($A$2="°F",Patrones!AR12*1.8+32,Patrones!AR12))</f>
        <v>29.9</v>
      </c>
      <c r="AS37" s="150">
        <f>IF(AS12="","",IF($A$2="°F",Patrones!AS12*1.8+32,Patrones!AS12))</f>
        <v>-0.09</v>
      </c>
      <c r="AT37" s="151">
        <f>IF(AT12="","",IF($A$2="°F",Patrones!AT12*1.8+32,Patrones!AT12))</f>
        <v>0.54</v>
      </c>
      <c r="AU37" s="149" t="str">
        <f>IF(AU12="","",IF($A$2="°F",Patrones!AU12*1.8+32,Patrones!AU12))</f>
        <v/>
      </c>
      <c r="AV37" s="150" t="str">
        <f>IF(AV12="","",IF($A$2="°F",Patrones!AV12*1.8+32,Patrones!AV12))</f>
        <v/>
      </c>
      <c r="AW37" s="151" t="str">
        <f>IF(AW12="","",IF($A$2="°F",Patrones!AW12*1.8+32,Patrones!AW12))</f>
        <v/>
      </c>
      <c r="AX37" s="149" t="str">
        <f>IF(AX12="","",IF($A$2="°F",Patrones!AX12*1.8+32,Patrones!AX12))</f>
        <v/>
      </c>
      <c r="AY37" s="150" t="str">
        <f>IF(AY12="","",IF($A$2="°F",Patrones!AY12*1.8+32,Patrones!AY12))</f>
        <v/>
      </c>
      <c r="AZ37" s="151" t="str">
        <f>IF(AZ12="","",IF($A$2="°F",Patrones!AZ12*1.8+32,Patrones!AZ12))</f>
        <v/>
      </c>
      <c r="BA37" s="132">
        <v>5</v>
      </c>
    </row>
    <row r="38" spans="2:53" x14ac:dyDescent="0.25">
      <c r="B38" s="149">
        <f>IF(B13="","",IF($A$2="°F",Patrones!B13*1.8+32,Patrones!B13))</f>
        <v>-6.4000000000000001E-2</v>
      </c>
      <c r="C38" s="150">
        <f>IF(C13="","",IF($A$2="°F",Patrones!C13*1.8+32,Patrones!C13))</f>
        <v>-6.9000000000000006E-2</v>
      </c>
      <c r="D38" s="151">
        <f>IF(D13="","",IF($A$2="°F",Patrones!D13*1.8+32,Patrones!D13))</f>
        <v>3.5999999999999997E-2</v>
      </c>
      <c r="E38" s="149">
        <f>IF(E13="","",IF($A$2="°F",Patrones!E13*1.8+32,Patrones!E13))</f>
        <v>69.7</v>
      </c>
      <c r="F38" s="150">
        <f>IF(F13="","",IF($A$2="°F",Patrones!F13*1.8+32,Patrones!F13))</f>
        <v>-0.26600000000000001</v>
      </c>
      <c r="G38" s="151">
        <f>IF(G13="","",IF($A$2="°F",Patrones!G13*1.8+32,Patrones!G13))</f>
        <v>0.03</v>
      </c>
      <c r="H38" s="149">
        <f>IF(H13="","",IF($A$2="°F",Patrones!H13*1.8+32,Patrones!H13))</f>
        <v>50.023000000000003</v>
      </c>
      <c r="I38" s="150">
        <f>IF(I13="","",IF($A$2="°F",Patrones!I13*1.8+32,Patrones!I13))</f>
        <v>-2.5999999999999999E-2</v>
      </c>
      <c r="J38" s="151">
        <f>IF(J13="","",IF($A$2="°F",Patrones!J13*1.8+32,Patrones!J13))</f>
        <v>6.7000000000000004E-2</v>
      </c>
      <c r="K38" s="149">
        <f>IF(K13="","",IF($A$2="°F",Patrones!K13*1.8+32,Patrones!K13))</f>
        <v>49.8</v>
      </c>
      <c r="L38" s="150">
        <f>IF(L13="","",IF($A$2="°F",Patrones!L13*1.8+32,Patrones!L13))</f>
        <v>-0.2</v>
      </c>
      <c r="M38" s="151">
        <f>IF(M13="","",IF($A$2="°F",Patrones!M13*1.8+32,Patrones!M13))</f>
        <v>0.54</v>
      </c>
      <c r="N38" s="149">
        <f>IF(N13="","",IF($A$2="°F",Patrones!N13*1.8+32,Patrones!N13))</f>
        <v>49.982999999999997</v>
      </c>
      <c r="O38" s="150">
        <f>IF(O13="","",IF($A$2="°F",Patrones!O13*1.8+32,Patrones!O13))</f>
        <v>-4.1700000000000001E-2</v>
      </c>
      <c r="P38" s="151">
        <f>IF(P13="","",IF($A$2="°F",Patrones!P13*1.8+32,Patrones!P13))</f>
        <v>1.7999999999999999E-2</v>
      </c>
      <c r="Q38" s="149">
        <f>IF(Q13="","",IF($A$2="°F",Patrones!Q13*1.8+32,Patrones!Q13))</f>
        <v>50.27</v>
      </c>
      <c r="R38" s="150">
        <f>IF(R13="","",IF($A$2="°F",Patrones!R13*1.8+32,Patrones!R13))</f>
        <v>0.25600000000000001</v>
      </c>
      <c r="S38" s="151">
        <f>IF(S13="","",IF($A$2="°F",Patrones!S13*1.8+32,Patrones!S13))</f>
        <v>1.6E-2</v>
      </c>
      <c r="T38" s="149">
        <f>IF(T13="","",IF($A$2="°F",Patrones!T13*1.8+32,Patrones!T13))</f>
        <v>10.199999999999999</v>
      </c>
      <c r="U38" s="150">
        <f>IF(U13="","",IF($A$2="°F",Patrones!U13*1.8+32,Patrones!U13))</f>
        <v>-4.7E-2</v>
      </c>
      <c r="V38" s="151">
        <f>IF(V13="","",IF($A$2="°F",Patrones!V13*1.8+32,Patrones!V13))</f>
        <v>0.13600000000000001</v>
      </c>
      <c r="W38" s="163" t="str">
        <f t="shared" si="2"/>
        <v/>
      </c>
      <c r="X38" s="158" t="str">
        <f t="shared" si="3"/>
        <v/>
      </c>
      <c r="Y38" s="159" t="str">
        <f t="shared" si="4"/>
        <v/>
      </c>
      <c r="Z38" s="149">
        <f>IF(Z13="","",IF($A$2="°F",Patrones!Z13*1.8+32,Patrones!Z13))</f>
        <v>19.98</v>
      </c>
      <c r="AA38" s="150">
        <f>IF(AA13="","",IF($A$2="°F",Patrones!AA13*1.8+32,Patrones!AA13))</f>
        <v>0</v>
      </c>
      <c r="AB38" s="151">
        <f>IF(AB13="","",IF($A$2="°F",Patrones!AB13*1.8+32,Patrones!AB13))</f>
        <v>0.13</v>
      </c>
      <c r="AC38" s="149">
        <f>IF(AC13="","",IF($A$2="°F",Patrones!AC13*1.8+32,Patrones!AC13))</f>
        <v>19.98</v>
      </c>
      <c r="AD38" s="150">
        <f>IF(AD13="","",IF($A$2="°F",Patrones!AD13*1.8+32,Patrones!AD13))</f>
        <v>0</v>
      </c>
      <c r="AE38" s="151">
        <f>IF(AE13="","",IF($A$2="°F",Patrones!AE13*1.8+32,Patrones!AE13))</f>
        <v>0.13</v>
      </c>
      <c r="AF38" s="149">
        <f>IF(AF13="","",IF($A$2="°F",Patrones!AF13*1.8+32,Patrones!AF13))</f>
        <v>19.97</v>
      </c>
      <c r="AG38" s="150">
        <f>IF(AG13="","",IF($A$2="°F",Patrones!AG13*1.8+32,Patrones!AG13))</f>
        <v>0.01</v>
      </c>
      <c r="AH38" s="151">
        <f>IF(AH13="","",IF($A$2="°F",Patrones!AH13*1.8+32,Patrones!AH13))</f>
        <v>0.13</v>
      </c>
      <c r="AI38" s="149">
        <f>IF(AI13="","",IF($A$2="°F",Patrones!AI13*1.8+32,Patrones!AI13))</f>
        <v>19.97</v>
      </c>
      <c r="AJ38" s="150">
        <f>IF(AJ13="","",IF($A$2="°F",Patrones!AJ13*1.8+32,Patrones!AJ13))</f>
        <v>0.01</v>
      </c>
      <c r="AK38" s="151">
        <f>IF(AK13="","",IF($A$2="°F",Patrones!AK13*1.8+32,Patrones!AK13))</f>
        <v>0.13</v>
      </c>
      <c r="AL38" s="149">
        <f>IF(AL13="","",IF($A$2="°F",Patrones!AL13*1.8+32,Patrones!AL13))</f>
        <v>19.899999999999999</v>
      </c>
      <c r="AM38" s="150">
        <f>IF(AM13="","",IF($A$2="°F",Patrones!AM13*1.8+32,Patrones!AM13))</f>
        <v>-1.7000000000000001E-2</v>
      </c>
      <c r="AN38" s="151">
        <f>IF(AN13="","",IF($A$2="°F",Patrones!AN13*1.8+32,Patrones!AN13))</f>
        <v>0.14599999999999999</v>
      </c>
      <c r="AO38" s="149">
        <f>IF(AO13="","",IF($A$2="°F",Patrones!AO13*1.8+32,Patrones!AO13))</f>
        <v>50</v>
      </c>
      <c r="AP38" s="150">
        <f>IF(AP13="","",IF($A$2="°F",Patrones!AP13*1.8+32,Patrones!AP13))</f>
        <v>0.01</v>
      </c>
      <c r="AQ38" s="151">
        <f>IF(AQ13="","",IF($A$2="°F",Patrones!AQ13*1.8+32,Patrones!AQ13))</f>
        <v>0.54</v>
      </c>
      <c r="AR38" s="149">
        <f>IF(AR13="","",IF($A$2="°F",Patrones!AR13*1.8+32,Patrones!AR13))</f>
        <v>50</v>
      </c>
      <c r="AS38" s="150">
        <f>IF(AS13="","",IF($A$2="°F",Patrones!AS13*1.8+32,Patrones!AS13))</f>
        <v>0.01</v>
      </c>
      <c r="AT38" s="151">
        <f>IF(AT13="","",IF($A$2="°F",Patrones!AT13*1.8+32,Patrones!AT13))</f>
        <v>0.54</v>
      </c>
      <c r="AU38" s="149" t="str">
        <f>IF(AU13="","",IF($A$2="°F",Patrones!AU13*1.8+32,Patrones!AU13))</f>
        <v/>
      </c>
      <c r="AV38" s="150" t="str">
        <f>IF(AV13="","",IF($A$2="°F",Patrones!AV13*1.8+32,Patrones!AV13))</f>
        <v/>
      </c>
      <c r="AW38" s="151" t="str">
        <f>IF(AW13="","",IF($A$2="°F",Patrones!AW13*1.8+32,Patrones!AW13))</f>
        <v/>
      </c>
      <c r="AX38" s="149" t="str">
        <f>IF(AX13="","",IF($A$2="°F",Patrones!AX13*1.8+32,Patrones!AX13))</f>
        <v/>
      </c>
      <c r="AY38" s="150" t="str">
        <f>IF(AY13="","",IF($A$2="°F",Patrones!AY13*1.8+32,Patrones!AY13))</f>
        <v/>
      </c>
      <c r="AZ38" s="151" t="str">
        <f>IF(AZ13="","",IF($A$2="°F",Patrones!AZ13*1.8+32,Patrones!AZ13))</f>
        <v/>
      </c>
      <c r="BA38" s="132">
        <v>6</v>
      </c>
    </row>
    <row r="39" spans="2:53" x14ac:dyDescent="0.25">
      <c r="B39" s="149">
        <f>IF(B14="","",IF($A$2="°F",Patrones!B14*1.8+32,Patrones!B14))</f>
        <v>9.9540000000000006</v>
      </c>
      <c r="C39" s="150">
        <f>IF(C14="","",IF($A$2="°F",Patrones!C14*1.8+32,Patrones!C14))</f>
        <v>-5.8000000000000003E-2</v>
      </c>
      <c r="D39" s="151">
        <f>IF(D14="","",IF($A$2="°F",Patrones!D14*1.8+32,Patrones!D14))</f>
        <v>3.5999999999999997E-2</v>
      </c>
      <c r="E39" s="149">
        <f>IF(E14="","",IF($A$2="°F",Patrones!E14*1.8+32,Patrones!E14))</f>
        <v>120.2</v>
      </c>
      <c r="F39" s="150">
        <f>IF(F14="","",IF($A$2="°F",Patrones!F14*1.8+32,Patrones!F14))</f>
        <v>0.16900000000000001</v>
      </c>
      <c r="G39" s="151">
        <f>IF(G14="","",IF($A$2="°F",Patrones!G14*1.8+32,Patrones!G14))</f>
        <v>0.03</v>
      </c>
      <c r="H39" s="149">
        <f>IF(H14="","",IF($A$2="°F",Patrones!H14*1.8+32,Patrones!H14))</f>
        <v>75.007999999999996</v>
      </c>
      <c r="I39" s="150">
        <f>IF(I14="","",IF($A$2="°F",Patrones!I14*1.8+32,Patrones!I14))</f>
        <v>-0.02</v>
      </c>
      <c r="J39" s="151">
        <f>IF(J14="","",IF($A$2="°F",Patrones!J14*1.8+32,Patrones!J14))</f>
        <v>6.7000000000000004E-2</v>
      </c>
      <c r="K39" s="149">
        <f>IF(K14="","",IF($A$2="°F",Patrones!K14*1.8+32,Patrones!K14))</f>
        <v>75.3</v>
      </c>
      <c r="L39" s="150">
        <f>IF(L14="","",IF($A$2="°F",Patrones!L14*1.8+32,Patrones!L14))</f>
        <v>0.3</v>
      </c>
      <c r="M39" s="151">
        <f>IF(M14="","",IF($A$2="°F",Patrones!M14*1.8+32,Patrones!M14))</f>
        <v>0.54</v>
      </c>
      <c r="N39" s="149">
        <f>IF(N14="","",IF($A$2="°F",Patrones!N14*1.8+32,Patrones!N14))</f>
        <v>120.496</v>
      </c>
      <c r="O39" s="150">
        <f>IF(O14="","",IF($A$2="°F",Patrones!O14*1.8+32,Patrones!O14))</f>
        <v>0.1045</v>
      </c>
      <c r="P39" s="151">
        <f>IF(P14="","",IF($A$2="°F",Patrones!P14*1.8+32,Patrones!P14))</f>
        <v>2.1000000000000001E-2</v>
      </c>
      <c r="Q39" s="149">
        <f>IF(Q14="","",IF($A$2="°F",Patrones!Q14*1.8+32,Patrones!Q14))</f>
        <v>150.09</v>
      </c>
      <c r="R39" s="150">
        <f>IF(R14="","",IF($A$2="°F",Patrones!R14*1.8+32,Patrones!R14))</f>
        <v>0.159</v>
      </c>
      <c r="S39" s="151">
        <f>IF(S14="","",IF($A$2="°F",Patrones!S14*1.8+32,Patrones!S14))</f>
        <v>2.4E-2</v>
      </c>
      <c r="T39" s="149">
        <f>IF(T14="","",IF($A$2="°F",Patrones!T14*1.8+32,Patrones!T14))</f>
        <v>30.9</v>
      </c>
      <c r="U39" s="150">
        <f>IF(U14="","",IF($A$2="°F",Patrones!U14*1.8+32,Patrones!U14))</f>
        <v>-7.3999999999999996E-2</v>
      </c>
      <c r="V39" s="151">
        <f>IF(V14="","",IF($A$2="°F",Patrones!V14*1.8+32,Patrones!V14))</f>
        <v>0.13600000000000001</v>
      </c>
      <c r="W39" s="163" t="str">
        <f t="shared" si="2"/>
        <v/>
      </c>
      <c r="X39" s="158" t="str">
        <f t="shared" si="3"/>
        <v/>
      </c>
      <c r="Y39" s="159" t="str">
        <f t="shared" si="4"/>
        <v/>
      </c>
      <c r="Z39" s="149">
        <f>IF(Z14="","",IF($A$2="°F",Patrones!Z14*1.8+32,Patrones!Z14))</f>
        <v>44.95</v>
      </c>
      <c r="AA39" s="150">
        <f>IF(AA14="","",IF($A$2="°F",Patrones!AA14*1.8+32,Patrones!AA14))</f>
        <v>0</v>
      </c>
      <c r="AB39" s="151">
        <f>IF(AB14="","",IF($A$2="°F",Patrones!AB14*1.8+32,Patrones!AB14))</f>
        <v>0.13</v>
      </c>
      <c r="AC39" s="149">
        <f>IF(AC14="","",IF($A$2="°F",Patrones!AC14*1.8+32,Patrones!AC14))</f>
        <v>44.94</v>
      </c>
      <c r="AD39" s="150">
        <f>IF(AD14="","",IF($A$2="°F",Patrones!AD14*1.8+32,Patrones!AD14))</f>
        <v>0.01</v>
      </c>
      <c r="AE39" s="151">
        <f>IF(AE14="","",IF($A$2="°F",Patrones!AE14*1.8+32,Patrones!AE14))</f>
        <v>0.13</v>
      </c>
      <c r="AF39" s="149">
        <f>IF(AF14="","",IF($A$2="°F",Patrones!AF14*1.8+32,Patrones!AF14))</f>
        <v>44.94</v>
      </c>
      <c r="AG39" s="150">
        <f>IF(AG14="","",IF($A$2="°F",Patrones!AG14*1.8+32,Patrones!AG14))</f>
        <v>0.01</v>
      </c>
      <c r="AH39" s="151">
        <f>IF(AH14="","",IF($A$2="°F",Patrones!AH14*1.8+32,Patrones!AH14))</f>
        <v>0.13</v>
      </c>
      <c r="AI39" s="149">
        <f>IF(AI14="","",IF($A$2="°F",Patrones!AI14*1.8+32,Patrones!AI14))</f>
        <v>44.95</v>
      </c>
      <c r="AJ39" s="150">
        <f>IF(AJ14="","",IF($A$2="°F",Patrones!AJ14*1.8+32,Patrones!AJ14))</f>
        <v>0</v>
      </c>
      <c r="AK39" s="151">
        <f>IF(AK14="","",IF($A$2="°F",Patrones!AK14*1.8+32,Patrones!AK14))</f>
        <v>0.13</v>
      </c>
      <c r="AL39" s="149">
        <f>IF(AL14="","",IF($A$2="°F",Patrones!AL14*1.8+32,Patrones!AL14))</f>
        <v>40</v>
      </c>
      <c r="AM39" s="150">
        <f>IF(AM14="","",IF($A$2="°F",Patrones!AM14*1.8+32,Patrones!AM14))</f>
        <v>6.7000000000000004E-2</v>
      </c>
      <c r="AN39" s="151">
        <f>IF(AN14="","",IF($A$2="°F",Patrones!AN14*1.8+32,Patrones!AN14))</f>
        <v>0.153</v>
      </c>
      <c r="AO39" s="149">
        <f>IF(AO14="","",IF($A$2="°F",Patrones!AO14*1.8+32,Patrones!AO14))</f>
        <v>75</v>
      </c>
      <c r="AP39" s="150">
        <f>IF(AP14="","",IF($A$2="°F",Patrones!AP14*1.8+32,Patrones!AP14))</f>
        <v>0.08</v>
      </c>
      <c r="AQ39" s="151">
        <f>IF(AQ14="","",IF($A$2="°F",Patrones!AQ14*1.8+32,Patrones!AQ14))</f>
        <v>0.54</v>
      </c>
      <c r="AR39" s="149">
        <f>IF(AR14="","",IF($A$2="°F",Patrones!AR14*1.8+32,Patrones!AR14))</f>
        <v>75</v>
      </c>
      <c r="AS39" s="150">
        <f>IF(AS14="","",IF($A$2="°F",Patrones!AS14*1.8+32,Patrones!AS14))</f>
        <v>0.08</v>
      </c>
      <c r="AT39" s="151">
        <f>IF(AT14="","",IF($A$2="°F",Patrones!AT14*1.8+32,Patrones!AT14))</f>
        <v>0.54</v>
      </c>
      <c r="AU39" s="149" t="str">
        <f>IF(AU14="","",IF($A$2="°F",Patrones!AU14*1.8+32,Patrones!AU14))</f>
        <v/>
      </c>
      <c r="AV39" s="150" t="str">
        <f>IF(AV14="","",IF($A$2="°F",Patrones!AV14*1.8+32,Patrones!AV14))</f>
        <v/>
      </c>
      <c r="AW39" s="151" t="str">
        <f>IF(AW14="","",IF($A$2="°F",Patrones!AW14*1.8+32,Patrones!AW14))</f>
        <v/>
      </c>
      <c r="AX39" s="149" t="str">
        <f>IF(AX14="","",IF($A$2="°F",Patrones!AX14*1.8+32,Patrones!AX14))</f>
        <v/>
      </c>
      <c r="AY39" s="150" t="str">
        <f>IF(AY14="","",IF($A$2="°F",Patrones!AY14*1.8+32,Patrones!AY14))</f>
        <v/>
      </c>
      <c r="AZ39" s="151" t="str">
        <f>IF(AZ14="","",IF($A$2="°F",Patrones!AZ14*1.8+32,Patrones!AZ14))</f>
        <v/>
      </c>
      <c r="BA39" s="132">
        <v>7</v>
      </c>
    </row>
    <row r="40" spans="2:53" x14ac:dyDescent="0.25">
      <c r="B40" s="149">
        <f>IF(B15="","",IF($A$2="°F",Patrones!B15*1.8+32,Patrones!B15))</f>
        <v>19.995999999999999</v>
      </c>
      <c r="C40" s="150">
        <f>IF(C15="","",IF($A$2="°F",Patrones!C15*1.8+32,Patrones!C15))</f>
        <v>-1.9E-2</v>
      </c>
      <c r="D40" s="151">
        <f>IF(D15="","",IF($A$2="°F",Patrones!D15*1.8+32,Patrones!D15))</f>
        <v>3.5999999999999997E-2</v>
      </c>
      <c r="E40" s="149">
        <f>IF(E15="","",IF($A$2="°F",Patrones!E15*1.8+32,Patrones!E15))</f>
        <v>200.3</v>
      </c>
      <c r="F40" s="150">
        <f>IF(F15="","",IF($A$2="°F",Patrones!F15*1.8+32,Patrones!F15))</f>
        <v>0.26</v>
      </c>
      <c r="G40" s="151">
        <f>IF(G15="","",IF($A$2="°F",Patrones!G15*1.8+32,Patrones!G15))</f>
        <v>0.03</v>
      </c>
      <c r="H40" s="149">
        <f>IF(H15="","",IF($A$2="°F",Patrones!H15*1.8+32,Patrones!H15))</f>
        <v>99.984999999999999</v>
      </c>
      <c r="I40" s="150">
        <f>IF(I15="","",IF($A$2="°F",Patrones!I15*1.8+32,Patrones!I15))</f>
        <v>-3.5000000000000003E-2</v>
      </c>
      <c r="J40" s="151">
        <f>IF(J15="","",IF($A$2="°F",Patrones!J15*1.8+32,Patrones!J15))</f>
        <v>6.7000000000000004E-2</v>
      </c>
      <c r="K40" s="149">
        <f>IF(K15="","",IF($A$2="°F",Patrones!K15*1.8+32,Patrones!K15))</f>
        <v>99.5</v>
      </c>
      <c r="L40" s="150">
        <f>IF(L15="","",IF($A$2="°F",Patrones!L15*1.8+32,Patrones!L15))</f>
        <v>-0.5</v>
      </c>
      <c r="M40" s="151">
        <f>IF(M15="","",IF($A$2="°F",Patrones!M15*1.8+32,Patrones!M15))</f>
        <v>0.54</v>
      </c>
      <c r="N40" s="149">
        <f>IF(N15="","",IF($A$2="°F",Patrones!N15*1.8+32,Patrones!N15))</f>
        <v>239.19200000000001</v>
      </c>
      <c r="O40" s="150">
        <f>IF(O15="","",IF($A$2="°F",Patrones!O15*1.8+32,Patrones!O15))</f>
        <v>0.2591</v>
      </c>
      <c r="P40" s="151">
        <f>IF(P15="","",IF($A$2="°F",Patrones!P15*1.8+32,Patrones!P15))</f>
        <v>2.1000000000000001E-2</v>
      </c>
      <c r="Q40" s="149">
        <f>IF(Q15="","",IF($A$2="°F",Patrones!Q15*1.8+32,Patrones!Q15))</f>
        <v>240.05</v>
      </c>
      <c r="R40" s="150">
        <f>IF(R15="","",IF($A$2="°F",Patrones!R15*1.8+32,Patrones!R15))</f>
        <v>2.4E-2</v>
      </c>
      <c r="S40" s="151">
        <f>IF(S15="","",IF($A$2="°F",Patrones!S15*1.8+32,Patrones!S15))</f>
        <v>2.4E-2</v>
      </c>
      <c r="T40" s="149">
        <f>IF(T15="","",IF($A$2="°F",Patrones!T15*1.8+32,Patrones!T15))</f>
        <v>50.7</v>
      </c>
      <c r="U40" s="150">
        <f>IF(U15="","",IF($A$2="°F",Patrones!U15*1.8+32,Patrones!U15))</f>
        <v>0.191</v>
      </c>
      <c r="V40" s="151">
        <f>IF(V15="","",IF($A$2="°F",Patrones!V15*1.8+32,Patrones!V15))</f>
        <v>0.13600000000000001</v>
      </c>
      <c r="W40" s="163" t="str">
        <f t="shared" si="2"/>
        <v/>
      </c>
      <c r="X40" s="164" t="str">
        <f t="shared" si="3"/>
        <v/>
      </c>
      <c r="Y40" s="159" t="str">
        <f t="shared" si="4"/>
        <v/>
      </c>
      <c r="Z40" s="149">
        <f>IF(Z15="","",IF($A$2="°F",Patrones!Z15*1.8+32,Patrones!Z15))</f>
        <v>68.87</v>
      </c>
      <c r="AA40" s="150">
        <f>IF(AA15="","",IF($A$2="°F",Patrones!AA15*1.8+32,Patrones!AA15))</f>
        <v>0</v>
      </c>
      <c r="AB40" s="151">
        <f>IF(AB15="","",IF($A$2="°F",Patrones!AB15*1.8+32,Patrones!AB15))</f>
        <v>0.13</v>
      </c>
      <c r="AC40" s="149">
        <f>IF(AC15="","",IF($A$2="°F",Patrones!AC15*1.8+32,Patrones!AC15))</f>
        <v>69.8</v>
      </c>
      <c r="AD40" s="150">
        <f>IF(AD15="","",IF($A$2="°F",Patrones!AD15*1.8+32,Patrones!AD15))</f>
        <v>7.0000000000000007E-2</v>
      </c>
      <c r="AE40" s="151">
        <f>IF(AE15="","",IF($A$2="°F",Patrones!AE15*1.8+32,Patrones!AE15))</f>
        <v>0.13</v>
      </c>
      <c r="AF40" s="149">
        <f>IF(AF15="","",IF($A$2="°F",Patrones!AF15*1.8+32,Patrones!AF15))</f>
        <v>69.8</v>
      </c>
      <c r="AG40" s="150">
        <f>IF(AG15="","",IF($A$2="°F",Patrones!AG15*1.8+32,Patrones!AG15))</f>
        <v>0.08</v>
      </c>
      <c r="AH40" s="151">
        <f>IF(AH15="","",IF($A$2="°F",Patrones!AH15*1.8+32,Patrones!AH15))</f>
        <v>0.13</v>
      </c>
      <c r="AI40" s="149">
        <f>IF(AI15="","",IF($A$2="°F",Patrones!AI15*1.8+32,Patrones!AI15))</f>
        <v>69.81</v>
      </c>
      <c r="AJ40" s="150">
        <f>IF(AJ15="","",IF($A$2="°F",Patrones!AJ15*1.8+32,Patrones!AJ15))</f>
        <v>0.06</v>
      </c>
      <c r="AK40" s="151">
        <f>IF(AK15="","",IF($A$2="°F",Patrones!AK15*1.8+32,Patrones!AK15))</f>
        <v>0.13</v>
      </c>
      <c r="AL40" s="149">
        <f>IF(AL15="","",IF($A$2="°F",Patrones!AL15*1.8+32,Patrones!AL15))</f>
        <v>100</v>
      </c>
      <c r="AM40" s="150">
        <f>IF(AM15="","",IF($A$2="°F",Patrones!AM15*1.8+32,Patrones!AM15))</f>
        <v>8.3000000000000004E-2</v>
      </c>
      <c r="AN40" s="151">
        <f>IF(AN15="","",IF($A$2="°F",Patrones!AN15*1.8+32,Patrones!AN15))</f>
        <v>0.153</v>
      </c>
      <c r="AO40" s="149">
        <f>IF(AO15="","",IF($A$2="°F",Patrones!AO15*1.8+32,Patrones!AO15))</f>
        <v>99.96</v>
      </c>
      <c r="AP40" s="150">
        <f>IF(AP15="","",IF($A$2="°F",Patrones!AP15*1.8+32,Patrones!AP15))</f>
        <v>-0.03</v>
      </c>
      <c r="AQ40" s="151">
        <f>IF(AQ15="","",IF($A$2="°F",Patrones!AQ15*1.8+32,Patrones!AQ15))</f>
        <v>0.54</v>
      </c>
      <c r="AR40" s="149">
        <f>IF(AR15="","",IF($A$2="°F",Patrones!AR15*1.8+32,Patrones!AR15))</f>
        <v>100</v>
      </c>
      <c r="AS40" s="150">
        <f>IF(AS15="","",IF($A$2="°F",Patrones!AS15*1.8+32,Patrones!AS15))</f>
        <v>0.01</v>
      </c>
      <c r="AT40" s="151">
        <f>IF(AT15="","",IF($A$2="°F",Patrones!AT15*1.8+32,Patrones!AT15))</f>
        <v>0.54</v>
      </c>
      <c r="AU40" s="149" t="str">
        <f>IF(AU15="","",IF($A$2="°F",Patrones!AU15*1.8+32,Patrones!AU15))</f>
        <v/>
      </c>
      <c r="AV40" s="150" t="str">
        <f>IF(AV15="","",IF($A$2="°F",Patrones!AV15*1.8+32,Patrones!AV15))</f>
        <v/>
      </c>
      <c r="AW40" s="151" t="str">
        <f>IF(AW15="","",IF($A$2="°F",Patrones!AW15*1.8+32,Patrones!AW15))</f>
        <v/>
      </c>
      <c r="AX40" s="149" t="str">
        <f>IF(AX15="","",IF($A$2="°F",Patrones!AX15*1.8+32,Patrones!AX15))</f>
        <v/>
      </c>
      <c r="AY40" s="150" t="str">
        <f>IF(AY15="","",IF($A$2="°F",Patrones!AY15*1.8+32,Patrones!AY15))</f>
        <v/>
      </c>
      <c r="AZ40" s="151" t="str">
        <f>IF(AZ15="","",IF($A$2="°F",Patrones!AZ15*1.8+32,Patrones!AZ15))</f>
        <v/>
      </c>
      <c r="BA40" s="132">
        <v>8</v>
      </c>
    </row>
    <row r="41" spans="2:53" x14ac:dyDescent="0.25">
      <c r="B41" s="149">
        <f>IF(B16="","",IF($A$2="°F",Patrones!B16*1.8+32,Patrones!B16))</f>
        <v>49.988</v>
      </c>
      <c r="C41" s="150">
        <f>IF(C16="","",IF($A$2="°F",Patrones!C16*1.8+32,Patrones!C16))</f>
        <v>-0.04</v>
      </c>
      <c r="D41" s="151">
        <f>IF(D16="","",IF($A$2="°F",Patrones!D16*1.8+32,Patrones!D16))</f>
        <v>3.5999999999999997E-2</v>
      </c>
      <c r="E41" s="149">
        <f>IF(E16="","",IF($A$2="°F",Patrones!E16*1.8+32,Patrones!E16))</f>
        <v>250.3</v>
      </c>
      <c r="F41" s="150">
        <f>IF(F16="","",IF($A$2="°F",Patrones!F16*1.8+32,Patrones!F16))</f>
        <v>0.216</v>
      </c>
      <c r="G41" s="151">
        <f>IF(G16="","",IF($A$2="°F",Patrones!G16*1.8+32,Patrones!G16))</f>
        <v>3.1E-2</v>
      </c>
      <c r="H41" s="149">
        <f>IF(H16="","",IF($A$2="°F",Patrones!H16*1.8+32,Patrones!H16))</f>
        <v>124.952</v>
      </c>
      <c r="I41" s="150">
        <f>IF(I16="","",IF($A$2="°F",Patrones!I16*1.8+32,Patrones!I16))</f>
        <v>-3.5000000000000003E-2</v>
      </c>
      <c r="J41" s="151">
        <f>IF(J16="","",IF($A$2="°F",Patrones!J16*1.8+32,Patrones!J16))</f>
        <v>6.7000000000000004E-2</v>
      </c>
      <c r="K41" s="149">
        <f>IF(K16="","",IF($A$2="°F",Patrones!K16*1.8+32,Patrones!K16))</f>
        <v>119.4</v>
      </c>
      <c r="L41" s="150">
        <f>IF(L16="","",IF($A$2="°F",Patrones!L16*1.8+32,Patrones!L16))</f>
        <v>-0.6</v>
      </c>
      <c r="M41" s="151">
        <f>IF(M16="","",IF($A$2="°F",Patrones!M16*1.8+32,Patrones!M16))</f>
        <v>0.54</v>
      </c>
      <c r="N41" s="149">
        <f>IF(N16="","",IF($A$2="°F",Patrones!N16*1.8+32,Patrones!N16))</f>
        <v>398.86700000000002</v>
      </c>
      <c r="O41" s="150">
        <f>IF(O16="","",IF($A$2="°F",Patrones!O16*1.8+32,Patrones!O16))</f>
        <v>0.5363</v>
      </c>
      <c r="P41" s="151">
        <f>IF(P16="","",IF($A$2="°F",Patrones!P16*1.8+32,Patrones!P16))</f>
        <v>2.1000000000000001E-2</v>
      </c>
      <c r="Q41" s="149">
        <f>IF(Q16="","",IF($A$2="°F",Patrones!Q16*1.8+32,Patrones!Q16))</f>
        <v>299.75</v>
      </c>
      <c r="R41" s="150">
        <f>IF(R16="","",IF($A$2="°F",Patrones!R16*1.8+32,Patrones!R16))</f>
        <v>-3.2399999999999998E-2</v>
      </c>
      <c r="S41" s="151">
        <f>IF(S16="","",IF($A$2="°F",Patrones!S16*1.8+32,Patrones!S16))</f>
        <v>2.4E-2</v>
      </c>
      <c r="T41" s="149">
        <f>IF(T16="","",IF($A$2="°F",Patrones!T16*1.8+32,Patrones!T16))</f>
        <v>70.099999999999994</v>
      </c>
      <c r="U41" s="150">
        <f>IF(U16="","",IF($A$2="°F",Patrones!U16*1.8+32,Patrones!U16))</f>
        <v>0.126</v>
      </c>
      <c r="V41" s="151">
        <f>IF(V16="","",IF($A$2="°F",Patrones!V16*1.8+32,Patrones!V16))</f>
        <v>0.13600000000000001</v>
      </c>
      <c r="W41" s="163" t="str">
        <f t="shared" si="2"/>
        <v/>
      </c>
      <c r="X41" s="158" t="str">
        <f t="shared" si="3"/>
        <v/>
      </c>
      <c r="Y41" s="159" t="str">
        <f t="shared" si="4"/>
        <v/>
      </c>
      <c r="Z41" s="149">
        <f>IF(Z16="","",IF($A$2="°F",Patrones!Z16*1.8+32,Patrones!Z16))</f>
        <v>99.9</v>
      </c>
      <c r="AA41" s="150">
        <f>IF(AA16="","",IF($A$2="°F",Patrones!AA16*1.8+32,Patrones!AA16))</f>
        <v>0</v>
      </c>
      <c r="AB41" s="151">
        <f>IF(AB16="","",IF($A$2="°F",Patrones!AB16*1.8+32,Patrones!AB16))</f>
        <v>0.13</v>
      </c>
      <c r="AC41" s="149">
        <f>IF(AC16="","",IF($A$2="°F",Patrones!AC16*1.8+32,Patrones!AC16))</f>
        <v>99.91</v>
      </c>
      <c r="AD41" s="150">
        <f>IF(AD16="","",IF($A$2="°F",Patrones!AD16*1.8+32,Patrones!AD16))</f>
        <v>0</v>
      </c>
      <c r="AE41" s="151">
        <f>IF(AE16="","",IF($A$2="°F",Patrones!AE16*1.8+32,Patrones!AE16))</f>
        <v>0.13</v>
      </c>
      <c r="AF41" s="149">
        <f>IF(AF16="","",IF($A$2="°F",Patrones!AF16*1.8+32,Patrones!AF16))</f>
        <v>99.91</v>
      </c>
      <c r="AG41" s="150">
        <f>IF(AG16="","",IF($A$2="°F",Patrones!AG16*1.8+32,Patrones!AG16))</f>
        <v>0.01</v>
      </c>
      <c r="AH41" s="151">
        <f>IF(AH16="","",IF($A$2="°F",Patrones!AH16*1.8+32,Patrones!AH16))</f>
        <v>0.13</v>
      </c>
      <c r="AI41" s="149">
        <f>IF(AI16="","",IF($A$2="°F",Patrones!AI16*1.8+32,Patrones!AI16))</f>
        <v>99.92</v>
      </c>
      <c r="AJ41" s="150">
        <f>IF(AJ16="","",IF($A$2="°F",Patrones!AJ16*1.8+32,Patrones!AJ16))</f>
        <v>0.01</v>
      </c>
      <c r="AK41" s="151">
        <f>IF(AK16="","",IF($A$2="°F",Patrones!AK16*1.8+32,Patrones!AK16))</f>
        <v>0.13</v>
      </c>
      <c r="AL41" s="149">
        <f>IF(AL16="","",IF($A$2="°F",Patrones!AL16*1.8+32,Patrones!AL16))</f>
        <v>119.9</v>
      </c>
      <c r="AM41" s="150">
        <f>IF(AM16="","",IF($A$2="°F",Patrones!AM16*1.8+32,Patrones!AM16))</f>
        <v>-2.9000000000000001E-2</v>
      </c>
      <c r="AN41" s="151">
        <f>IF(AN16="","",IF($A$2="°F",Patrones!AN16*1.8+32,Patrones!AN16))</f>
        <v>0.14599999999999999</v>
      </c>
      <c r="AO41" s="149">
        <f>IF(AO16="","",IF($A$2="°F",Patrones!AO16*1.8+32,Patrones!AO16))</f>
        <v>119.9</v>
      </c>
      <c r="AP41" s="150">
        <f>IF(AP16="","",IF($A$2="°F",Patrones!AP16*1.8+32,Patrones!AP16))</f>
        <v>-0.09</v>
      </c>
      <c r="AQ41" s="151">
        <f>IF(AQ16="","",IF($A$2="°F",Patrones!AQ16*1.8+32,Patrones!AQ16))</f>
        <v>0.54</v>
      </c>
      <c r="AR41" s="149">
        <f>IF(AR16="","",IF($A$2="°F",Patrones!AR16*1.8+32,Patrones!AR16))</f>
        <v>119.9</v>
      </c>
      <c r="AS41" s="150">
        <f>IF(AS16="","",IF($A$2="°F",Patrones!AS16*1.8+32,Patrones!AS16))</f>
        <v>-0.09</v>
      </c>
      <c r="AT41" s="151">
        <f>IF(AT16="","",IF($A$2="°F",Patrones!AT16*1.8+32,Patrones!AT16))</f>
        <v>0.54</v>
      </c>
      <c r="AU41" s="149" t="str">
        <f>IF(AU16="","",IF($A$2="°F",Patrones!AU16*1.8+32,Patrones!AU16))</f>
        <v/>
      </c>
      <c r="AV41" s="150" t="str">
        <f>IF(AV16="","",IF($A$2="°F",Patrones!AV16*1.8+32,Patrones!AV16))</f>
        <v/>
      </c>
      <c r="AW41" s="151" t="str">
        <f>IF(AW16="","",IF($A$2="°F",Patrones!AW16*1.8+32,Patrones!AW16))</f>
        <v/>
      </c>
      <c r="AX41" s="149" t="str">
        <f>IF(AX16="","",IF($A$2="°F",Patrones!AX16*1.8+32,Patrones!AX16))</f>
        <v/>
      </c>
      <c r="AY41" s="150" t="str">
        <f>IF(AY16="","",IF($A$2="°F",Patrones!AY16*1.8+32,Patrones!AY16))</f>
        <v/>
      </c>
      <c r="AZ41" s="151" t="str">
        <f>IF(AZ16="","",IF($A$2="°F",Patrones!AZ16*1.8+32,Patrones!AZ16))</f>
        <v/>
      </c>
      <c r="BA41" s="132">
        <v>9</v>
      </c>
    </row>
    <row r="42" spans="2:53" x14ac:dyDescent="0.25">
      <c r="B42" s="149">
        <f>IF(B17="","",IF($A$2="°F",Patrones!B17*1.8+32,Patrones!B17))</f>
        <v>80.010000000000005</v>
      </c>
      <c r="C42" s="150">
        <f>IF(C17="","",IF($A$2="°F",Patrones!C17*1.8+32,Patrones!C17))</f>
        <v>-3.0000000000000001E-3</v>
      </c>
      <c r="D42" s="151">
        <f>IF(D17="","",IF($A$2="°F",Patrones!D17*1.8+32,Patrones!D17))</f>
        <v>3.5999999999999997E-2</v>
      </c>
      <c r="E42" s="149">
        <f>IF(E17="","",IF($A$2="°F",Patrones!E17*1.8+32,Patrones!E17))</f>
        <v>270.39999999999998</v>
      </c>
      <c r="F42" s="150">
        <f>IF(F17="","",IF($A$2="°F",Patrones!F17*1.8+32,Patrones!F17))</f>
        <v>0.28799999999999998</v>
      </c>
      <c r="G42" s="151">
        <f>IF(G17="","",IF($A$2="°F",Patrones!G17*1.8+32,Patrones!G17))</f>
        <v>3.1E-2</v>
      </c>
      <c r="H42" s="149">
        <f>IF(H17="","",IF($A$2="°F",Patrones!H17*1.8+32,Patrones!H17))</f>
        <v>149.93600000000001</v>
      </c>
      <c r="I42" s="150">
        <f>IF(I17="","",IF($A$2="°F",Patrones!I17*1.8+32,Patrones!I17))</f>
        <v>-3.3000000000000002E-2</v>
      </c>
      <c r="J42" s="151">
        <f>IF(J17="","",IF($A$2="°F",Patrones!J17*1.8+32,Patrones!J17))</f>
        <v>6.7000000000000004E-2</v>
      </c>
      <c r="K42" s="149">
        <f>IF(K17="","",IF($A$2="°F",Patrones!K17*1.8+32,Patrones!K17))</f>
        <v>139.19999999999999</v>
      </c>
      <c r="L42" s="150">
        <f>IF(L17="","",IF($A$2="°F",Patrones!L17*1.8+32,Patrones!L17))</f>
        <v>-0.8</v>
      </c>
      <c r="M42" s="151">
        <f>IF(M17="","",IF($A$2="°F",Patrones!M17*1.8+32,Patrones!M17))</f>
        <v>0.54</v>
      </c>
      <c r="N42" s="149" t="str">
        <f>IF(N17="","",IF($A$2="°F",Patrones!N17*1.8+32,Patrones!N17))</f>
        <v/>
      </c>
      <c r="O42" s="150" t="str">
        <f>IF(O17="","",IF($A$2="°F",Patrones!O17*1.8+32,Patrones!O17))</f>
        <v/>
      </c>
      <c r="P42" s="151" t="str">
        <f>IF(P17="","",IF($A$2="°F",Patrones!P17*1.8+32,Patrones!P17))</f>
        <v/>
      </c>
      <c r="Q42" s="149">
        <f>IF(Q17="","",IF($A$2="°F",Patrones!Q17*1.8+32,Patrones!Q17))</f>
        <v>399.16</v>
      </c>
      <c r="R42" s="150">
        <f>IF(R17="","",IF($A$2="°F",Patrones!R17*1.8+32,Patrones!R17))</f>
        <v>-1.0249999999999999</v>
      </c>
      <c r="S42" s="151">
        <f>IF(S17="","",IF($A$2="°F",Patrones!S17*1.8+32,Patrones!S17))</f>
        <v>6.2E-2</v>
      </c>
      <c r="T42" s="149">
        <f>IF(T17="","",IF($A$2="°F",Patrones!T17*1.8+32,Patrones!T17))</f>
        <v>100.1</v>
      </c>
      <c r="U42" s="150">
        <f>IF(U17="","",IF($A$2="°F",Patrones!U17*1.8+32,Patrones!U17))</f>
        <v>0.19</v>
      </c>
      <c r="V42" s="151">
        <f>IF(V17="","",IF($A$2="°F",Patrones!V17*1.8+32,Patrones!V17))</f>
        <v>0.14199999999999999</v>
      </c>
      <c r="W42" s="163" t="str">
        <f t="shared" si="2"/>
        <v/>
      </c>
      <c r="X42" s="158" t="str">
        <f t="shared" si="3"/>
        <v/>
      </c>
      <c r="Y42" s="159" t="str">
        <f t="shared" si="4"/>
        <v/>
      </c>
      <c r="Z42" s="149">
        <f>IF(Z17="","",IF($A$2="°F",Patrones!Z17*1.8+32,Patrones!Z17))</f>
        <v>120.89</v>
      </c>
      <c r="AA42" s="150">
        <f>IF(AA17="","",IF($A$2="°F",Patrones!AA17*1.8+32,Patrones!AA17))</f>
        <v>0</v>
      </c>
      <c r="AB42" s="151">
        <f>IF(AB17="","",IF($A$2="°F",Patrones!AB17*1.8+32,Patrones!AB17))</f>
        <v>0.13</v>
      </c>
      <c r="AC42" s="149">
        <f>IF(AC17="","",IF($A$2="°F",Patrones!AC17*1.8+32,Patrones!AC17))</f>
        <v>120.9</v>
      </c>
      <c r="AD42" s="150">
        <f>IF(AD17="","",IF($A$2="°F",Patrones!AD17*1.8+32,Patrones!AD17))</f>
        <v>0</v>
      </c>
      <c r="AE42" s="151">
        <f>IF(AE17="","",IF($A$2="°F",Patrones!AE17*1.8+32,Patrones!AE17))</f>
        <v>0.13</v>
      </c>
      <c r="AF42" s="149">
        <f>IF(AF17="","",IF($A$2="°F",Patrones!AF17*1.8+32,Patrones!AF17))</f>
        <v>120.91</v>
      </c>
      <c r="AG42" s="150">
        <f>IF(AG17="","",IF($A$2="°F",Patrones!AG17*1.8+32,Patrones!AG17))</f>
        <v>0.01</v>
      </c>
      <c r="AH42" s="151">
        <f>IF(AH17="","",IF($A$2="°F",Patrones!AH17*1.8+32,Patrones!AH17))</f>
        <v>0.13</v>
      </c>
      <c r="AI42" s="149">
        <f>IF(AI17="","",IF($A$2="°F",Patrones!AI17*1.8+32,Patrones!AI17))</f>
        <v>120.9</v>
      </c>
      <c r="AJ42" s="150">
        <f>IF(AJ17="","",IF($A$2="°F",Patrones!AJ17*1.8+32,Patrones!AJ17))</f>
        <v>0.01</v>
      </c>
      <c r="AK42" s="151">
        <f>IF(AK17="","",IF($A$2="°F",Patrones!AK17*1.8+32,Patrones!AK17))</f>
        <v>0.13</v>
      </c>
      <c r="AL42" s="149">
        <f>IF(AL17="","",IF($A$2="°F",Patrones!AL17*1.8+32,Patrones!AL17))</f>
        <v>199.9</v>
      </c>
      <c r="AM42" s="150">
        <f>IF(AM17="","",IF($A$2="°F",Patrones!AM17*1.8+32,Patrones!AM17))</f>
        <v>-0.11799999999999999</v>
      </c>
      <c r="AN42" s="151">
        <f>IF(AN17="","",IF($A$2="°F",Patrones!AN17*1.8+32,Patrones!AN17))</f>
        <v>0.14599999999999999</v>
      </c>
      <c r="AO42" s="149">
        <f>IF(AO17="","",IF($A$2="°F",Patrones!AO17*1.8+32,Patrones!AO17))</f>
        <v>139.80000000000001</v>
      </c>
      <c r="AP42" s="150">
        <f>IF(AP17="","",IF($A$2="°F",Patrones!AP17*1.8+32,Patrones!AP17))</f>
        <v>-0.2</v>
      </c>
      <c r="AQ42" s="151">
        <f>IF(AQ17="","",IF($A$2="°F",Patrones!AQ17*1.8+32,Patrones!AQ17))</f>
        <v>0.54</v>
      </c>
      <c r="AR42" s="149">
        <f>IF(AR17="","",IF($A$2="°F",Patrones!AR17*1.8+32,Patrones!AR17))</f>
        <v>139.9</v>
      </c>
      <c r="AS42" s="150">
        <f>IF(AS17="","",IF($A$2="°F",Patrones!AS17*1.8+32,Patrones!AS17))</f>
        <v>-0.1</v>
      </c>
      <c r="AT42" s="151">
        <f>IF(AT17="","",IF($A$2="°F",Patrones!AT17*1.8+32,Patrones!AT17))</f>
        <v>0.54</v>
      </c>
      <c r="AU42" s="149" t="str">
        <f>IF(AU17="","",IF($A$2="°F",Patrones!AU17*1.8+32,Patrones!AU17))</f>
        <v/>
      </c>
      <c r="AV42" s="150" t="str">
        <f>IF(AV17="","",IF($A$2="°F",Patrones!AV17*1.8+32,Patrones!AV17))</f>
        <v/>
      </c>
      <c r="AW42" s="151" t="str">
        <f>IF(AW17="","",IF($A$2="°F",Patrones!AW17*1.8+32,Patrones!AW17))</f>
        <v/>
      </c>
      <c r="AX42" s="149" t="str">
        <f>IF(AX17="","",IF($A$2="°F",Patrones!AX17*1.8+32,Patrones!AX17))</f>
        <v/>
      </c>
      <c r="AY42" s="150" t="str">
        <f>IF(AY17="","",IF($A$2="°F",Patrones!AY17*1.8+32,Patrones!AY17))</f>
        <v/>
      </c>
      <c r="AZ42" s="151" t="str">
        <f>IF(AZ17="","",IF($A$2="°F",Patrones!AZ17*1.8+32,Patrones!AZ17))</f>
        <v/>
      </c>
      <c r="BA42" s="132">
        <v>10</v>
      </c>
    </row>
    <row r="43" spans="2:53" x14ac:dyDescent="0.25">
      <c r="B43" s="149">
        <f>IF(B18="","",IF($A$2="°F",Patrones!B18*1.8+32,Patrones!B18))</f>
        <v>99.995999999999995</v>
      </c>
      <c r="C43" s="150">
        <f>IF(C18="","",IF($A$2="°F",Patrones!C18*1.8+32,Patrones!C18))</f>
        <v>0.187</v>
      </c>
      <c r="D43" s="151">
        <f>IF(D18="","",IF($A$2="°F",Patrones!D18*1.8+32,Patrones!D18))</f>
        <v>4.2000000000000003E-2</v>
      </c>
      <c r="E43" s="149" t="str">
        <f t="shared" ref="E43:E56" si="5">IF(E18="","",(HLOOKUP($A$2,$C$1:$S$2,2,FALSE))*E18/(HLOOKUP(G$6,$C$1:$S$2,2,FALSE)))</f>
        <v/>
      </c>
      <c r="F43" s="150" t="str">
        <f t="shared" ref="F43:F56" si="6">IF(F18="","",(HLOOKUP($A$2,$C$1:$S$2,2,FALSE))*F18/(HLOOKUP(G$6,$C$1:$S$2,2,FALSE)))</f>
        <v/>
      </c>
      <c r="G43" s="150" t="str">
        <f t="shared" ref="G43:G56" si="7">IF(G18="","",(HLOOKUP($A$2,$C$1:$S$2,2,FALSE))*G18/(HLOOKUP(G$6,$C$1:$S$2,2,FALSE)))</f>
        <v/>
      </c>
      <c r="H43" s="149">
        <f>IF(H18="","",IF($A$2="°F",Patrones!H18*1.8+32,Patrones!H18))</f>
        <v>199.93199999999999</v>
      </c>
      <c r="I43" s="150">
        <f>IF(I18="","",IF($A$2="°F",Patrones!I18*1.8+32,Patrones!I18))</f>
        <v>-2.3E-2</v>
      </c>
      <c r="J43" s="151">
        <f>IF(J18="","",IF($A$2="°F",Patrones!J18*1.8+32,Patrones!J18))</f>
        <v>6.7000000000000004E-2</v>
      </c>
      <c r="K43" s="149" t="str">
        <f>IF(K18="","",IF($A$2="°F",Patrones!K18*1.8+32,Patrones!K18))</f>
        <v/>
      </c>
      <c r="L43" s="150" t="str">
        <f>IF(L18="","",IF($A$2="°F",Patrones!L18*1.8+32,Patrones!L18))</f>
        <v/>
      </c>
      <c r="M43" s="151" t="str">
        <f>IF(M18="","",IF($A$2="°F",Patrones!M18*1.8+32,Patrones!M18))</f>
        <v/>
      </c>
      <c r="N43" s="165"/>
      <c r="O43" s="150" t="str">
        <f t="shared" ref="O43:O56" si="8">IF(O18="","",(HLOOKUP($A$2,$C$1:$S$2,2,FALSE))*O18/(HLOOKUP(P$6,$C$1:$S$2,2,FALSE)))</f>
        <v/>
      </c>
      <c r="P43" s="150" t="str">
        <f t="shared" ref="P43:P56" si="9">IF(P18="","",(HLOOKUP($A$2,$C$1:$S$2,2,FALSE))*P18/(HLOOKUP(P$6,$C$1:$S$2,2,FALSE)))</f>
        <v/>
      </c>
      <c r="Q43" s="149" t="str">
        <f t="shared" ref="Q43:Q56" si="10">IF(Q18="","",(HLOOKUP($A$2,$C$1:$S$2,2,FALSE))*Q18/(HLOOKUP(S$6,$C$1:$S$2,2,FALSE)))</f>
        <v/>
      </c>
      <c r="R43" s="150" t="str">
        <f t="shared" ref="R43:R56" si="11">IF(R18="","",(HLOOKUP($A$2,$C$1:$S$2,2,FALSE))*R18/(HLOOKUP(S$6,$C$1:$S$2,2,FALSE)))</f>
        <v/>
      </c>
      <c r="S43" s="151" t="str">
        <f t="shared" ref="S43:S56" si="12">IF(S18="","",(HLOOKUP($A$2,$C$1:$S$2,2,FALSE))*S18/(HLOOKUP(S$6,$C$1:$S$2,2,FALSE)))</f>
        <v/>
      </c>
      <c r="T43" s="149" t="str">
        <f>IF(T18="","",IF($A$2="°F",Patrones!T18*1.8+32,Patrones!T18))</f>
        <v/>
      </c>
      <c r="U43" s="150" t="str">
        <f>IF(U18="","",IF($A$2="°F",Patrones!U18*1.8+32,Patrones!U18))</f>
        <v/>
      </c>
      <c r="V43" s="151" t="str">
        <f>IF(V18="","",IF($A$2="°F",Patrones!V18*1.8+32,Patrones!V18))</f>
        <v/>
      </c>
      <c r="W43" s="149" t="str">
        <f t="shared" si="2"/>
        <v/>
      </c>
      <c r="X43" s="150" t="str">
        <f t="shared" si="3"/>
        <v/>
      </c>
      <c r="Y43" s="151" t="str">
        <f t="shared" si="4"/>
        <v/>
      </c>
      <c r="Z43" s="149">
        <f>IF(Z18="","",IF($A$2="°F",Patrones!Z18*1.8+32,Patrones!Z18))</f>
        <v>139.87</v>
      </c>
      <c r="AA43" s="150">
        <f>IF(AA18="","",IF($A$2="°F",Patrones!AA18*1.8+32,Patrones!AA18))</f>
        <v>0</v>
      </c>
      <c r="AB43" s="151">
        <f>IF(AB18="","",IF($A$2="°F",Patrones!AB18*1.8+32,Patrones!AB18))</f>
        <v>0.13</v>
      </c>
      <c r="AC43" s="149">
        <f>IF(AC18="","",IF($A$2="°F",Patrones!AC18*1.8+32,Patrones!AC18))</f>
        <v>139.87</v>
      </c>
      <c r="AD43" s="150">
        <f>IF(AD18="","",IF($A$2="°F",Patrones!AD18*1.8+32,Patrones!AD18))</f>
        <v>0</v>
      </c>
      <c r="AE43" s="151">
        <f>IF(AE18="","",IF($A$2="°F",Patrones!AE18*1.8+32,Patrones!AE18))</f>
        <v>0.13</v>
      </c>
      <c r="AF43" s="149">
        <f>IF(AF18="","",IF($A$2="°F",Patrones!AF18*1.8+32,Patrones!AF18))</f>
        <v>139.87</v>
      </c>
      <c r="AG43" s="150">
        <f>IF(AG18="","",IF($A$2="°F",Patrones!AG18*1.8+32,Patrones!AG18))</f>
        <v>0</v>
      </c>
      <c r="AH43" s="151">
        <f>IF(AH18="","",IF($A$2="°F",Patrones!AH18*1.8+32,Patrones!AH18))</f>
        <v>0.13</v>
      </c>
      <c r="AI43" s="149">
        <f>IF(AI18="","",IF($A$2="°F",Patrones!AI18*1.8+32,Patrones!AI18))</f>
        <v>139.88</v>
      </c>
      <c r="AJ43" s="150">
        <f>IF(AJ18="","",IF($A$2="°F",Patrones!AJ18*1.8+32,Patrones!AJ18))</f>
        <v>0</v>
      </c>
      <c r="AK43" s="151">
        <f>IF(AK18="","",IF($A$2="°F",Patrones!AK18*1.8+32,Patrones!AK18))</f>
        <v>0.13</v>
      </c>
      <c r="AL43" s="149">
        <f>IF(AL18="","",IF($A$2="°F",Patrones!AL18*1.8+32,Patrones!AL18))</f>
        <v>250</v>
      </c>
      <c r="AM43" s="150">
        <f>IF(AM18="","",IF($A$2="°F",Patrones!AM18*1.8+32,Patrones!AM18))</f>
        <v>7.8E-2</v>
      </c>
      <c r="AN43" s="151">
        <f>IF(AN18="","",IF($A$2="°F",Patrones!AN18*1.8+32,Patrones!AN18))</f>
        <v>0.14599999999999999</v>
      </c>
      <c r="AO43" s="149" t="str">
        <f>IF(AO18="","",IF($A$2="°F",Patrones!AO18*1.8+32,Patrones!AO18))</f>
        <v/>
      </c>
      <c r="AP43" s="150" t="str">
        <f>IF(AP18="","",IF($A$2="°F",Patrones!AP18*1.8+32,Patrones!AP18))</f>
        <v/>
      </c>
      <c r="AQ43" s="151" t="str">
        <f>IF(AQ18="","",IF($A$2="°F",Patrones!AQ18*1.8+32,Patrones!AQ18))</f>
        <v/>
      </c>
      <c r="AR43" s="149" t="str">
        <f>IF(AR18="","",IF($A$2="°F",Patrones!AR18*1.8+32,Patrones!AR18))</f>
        <v/>
      </c>
      <c r="AS43" s="150" t="str">
        <f>IF(AS18="","",IF($A$2="°F",Patrones!AS18*1.8+32,Patrones!AS18))</f>
        <v/>
      </c>
      <c r="AT43" s="151" t="str">
        <f>IF(AT18="","",IF($A$2="°F",Patrones!AT18*1.8+32,Patrones!AT18))</f>
        <v/>
      </c>
      <c r="AU43" s="149" t="str">
        <f>IF(AU18="","",IF($A$2="°F",Patrones!AU18*1.8+32,Patrones!AU18))</f>
        <v/>
      </c>
      <c r="AV43" s="150" t="str">
        <f>IF(AV18="","",IF($A$2="°F",Patrones!AV18*1.8+32,Patrones!AV18))</f>
        <v/>
      </c>
      <c r="AW43" s="151" t="str">
        <f>IF(AW18="","",IF($A$2="°F",Patrones!AW18*1.8+32,Patrones!AW18))</f>
        <v/>
      </c>
      <c r="AX43" s="149" t="str">
        <f>IF(AX18="","",IF($A$2="°F",Patrones!AX18*1.8+32,Patrones!AX18))</f>
        <v/>
      </c>
      <c r="AY43" s="150" t="str">
        <f>IF(AY18="","",IF($A$2="°F",Patrones!AY18*1.8+32,Patrones!AY18))</f>
        <v/>
      </c>
      <c r="AZ43" s="151" t="str">
        <f>IF(AZ18="","",IF($A$2="°F",Patrones!AZ18*1.8+32,Patrones!AZ18))</f>
        <v/>
      </c>
      <c r="BA43" s="132">
        <v>11</v>
      </c>
    </row>
    <row r="44" spans="2:53" x14ac:dyDescent="0.25">
      <c r="B44" s="149">
        <f>IF(B19="","",IF($A$2="°F",Patrones!B19*1.8+32,Patrones!B19))</f>
        <v>120.033</v>
      </c>
      <c r="C44" s="150">
        <f>IF(C19="","",IF($A$2="°F",Patrones!C19*1.8+32,Patrones!C19))</f>
        <v>0.21</v>
      </c>
      <c r="D44" s="151">
        <f>IF(D19="","",IF($A$2="°F",Patrones!D19*1.8+32,Patrones!D19))</f>
        <v>4.2000000000000003E-2</v>
      </c>
      <c r="E44" s="149" t="str">
        <f t="shared" si="5"/>
        <v/>
      </c>
      <c r="F44" s="150" t="str">
        <f t="shared" si="6"/>
        <v/>
      </c>
      <c r="G44" s="150" t="str">
        <f t="shared" si="7"/>
        <v/>
      </c>
      <c r="H44" s="149">
        <f>IF(H19="","",IF($A$2="°F",Patrones!H19*1.8+32,Patrones!H19))</f>
        <v>249.93199999999999</v>
      </c>
      <c r="I44" s="150">
        <f>IF(I19="","",IF($A$2="°F",Patrones!I19*1.8+32,Patrones!I19))</f>
        <v>-1.9E-2</v>
      </c>
      <c r="J44" s="151">
        <f>IF(J19="","",IF($A$2="°F",Patrones!J19*1.8+32,Patrones!J19))</f>
        <v>6.7000000000000004E-2</v>
      </c>
      <c r="K44" s="149" t="str">
        <f>IF(K19="","",IF($A$2="°F",Patrones!K19*1.8+32,Patrones!K19))</f>
        <v/>
      </c>
      <c r="L44" s="150" t="str">
        <f>IF(L19="","",IF($A$2="°F",Patrones!L19*1.8+32,Patrones!L19))</f>
        <v/>
      </c>
      <c r="M44" s="151" t="str">
        <f>IF(M19="","",IF($A$2="°F",Patrones!M19*1.8+32,Patrones!M19))</f>
        <v/>
      </c>
      <c r="N44" s="165"/>
      <c r="O44" s="150" t="str">
        <f t="shared" si="8"/>
        <v/>
      </c>
      <c r="P44" s="150" t="str">
        <f t="shared" si="9"/>
        <v/>
      </c>
      <c r="Q44" s="161" t="str">
        <f t="shared" si="10"/>
        <v/>
      </c>
      <c r="R44" s="132" t="str">
        <f t="shared" si="11"/>
        <v/>
      </c>
      <c r="S44" s="162" t="str">
        <f t="shared" si="12"/>
        <v/>
      </c>
      <c r="T44" s="149" t="str">
        <f>IF(T19="","",IF($A$2="°F",Patrones!T19*1.8+32,Patrones!T19))</f>
        <v/>
      </c>
      <c r="U44" s="150" t="str">
        <f>IF(U19="","",IF($A$2="°F",Patrones!U19*1.8+32,Patrones!U19))</f>
        <v/>
      </c>
      <c r="V44" s="151" t="str">
        <f>IF(V19="","",IF($A$2="°F",Patrones!V19*1.8+32,Patrones!V19))</f>
        <v/>
      </c>
      <c r="W44" s="161" t="str">
        <f t="shared" si="2"/>
        <v/>
      </c>
      <c r="X44" s="153" t="str">
        <f t="shared" si="3"/>
        <v/>
      </c>
      <c r="Y44" s="151" t="str">
        <f t="shared" si="4"/>
        <v/>
      </c>
      <c r="Z44" s="149" t="str">
        <f>IF(Z19="","",IF($A$2="°F",Patrones!Z19*1.8+32,Patrones!Z19))</f>
        <v/>
      </c>
      <c r="AA44" s="150" t="str">
        <f>IF(AA19="","",IF($A$2="°F",Patrones!AA19*1.8+32,Patrones!AA19))</f>
        <v/>
      </c>
      <c r="AB44" s="151" t="str">
        <f>IF(AB19="","",IF($A$2="°F",Patrones!AB19*1.8+32,Patrones!AB19))</f>
        <v/>
      </c>
      <c r="AC44" s="149" t="str">
        <f>IF(AC19="","",IF($A$2="°F",Patrones!AC19*1.8+32,Patrones!AC19))</f>
        <v/>
      </c>
      <c r="AD44" s="150" t="str">
        <f>IF(AD19="","",IF($A$2="°F",Patrones!AD19*1.8+32,Patrones!AD19))</f>
        <v/>
      </c>
      <c r="AE44" s="151" t="str">
        <f>IF(AE19="","",IF($A$2="°F",Patrones!AE19*1.8+32,Patrones!AE19))</f>
        <v/>
      </c>
      <c r="AF44" s="149" t="str">
        <f>IF(AF19="","",IF($A$2="°F",Patrones!AF19*1.8+32,Patrones!AF19))</f>
        <v/>
      </c>
      <c r="AG44" s="150" t="str">
        <f>IF(AG19="","",IF($A$2="°F",Patrones!AG19*1.8+32,Patrones!AG19))</f>
        <v/>
      </c>
      <c r="AH44" s="151" t="str">
        <f>IF(AH19="","",IF($A$2="°F",Patrones!AH19*1.8+32,Patrones!AH19))</f>
        <v/>
      </c>
      <c r="AI44" s="149" t="str">
        <f>IF(AI19="","",IF($A$2="°F",Patrones!AI19*1.8+32,Patrones!AI19))</f>
        <v/>
      </c>
      <c r="AJ44" s="150" t="str">
        <f>IF(AJ19="","",IF($A$2="°F",Patrones!AJ19*1.8+32,Patrones!AJ19))</f>
        <v/>
      </c>
      <c r="AK44" s="151" t="str">
        <f>IF(AK19="","",IF($A$2="°F",Patrones!AK19*1.8+32,Patrones!AK19))</f>
        <v/>
      </c>
      <c r="AL44" s="149">
        <f>IF(AL19="","",IF($A$2="°F",Patrones!AL19*1.8+32,Patrones!AL19))</f>
        <v>270</v>
      </c>
      <c r="AM44" s="150">
        <f>IF(AM19="","",IF($A$2="°F",Patrones!AM19*1.8+32,Patrones!AM19))</f>
        <v>6.4000000000000001E-2</v>
      </c>
      <c r="AN44" s="151">
        <f>IF(AN19="","",IF($A$2="°F",Patrones!AN19*1.8+32,Patrones!AN19))</f>
        <v>0.153</v>
      </c>
      <c r="AO44" s="161" t="str">
        <f t="shared" ref="AO44:AO56" si="13">IF(AO19="","",(HLOOKUP($A$2,$C$1:$S$2,2,FALSE))*AO19/(HLOOKUP(AQ$6,$C$1:$S$2,2,FALSE)))</f>
        <v/>
      </c>
      <c r="AP44" s="132" t="str">
        <f t="shared" ref="AP44:AP56" si="14">IF(AP19="","",(HLOOKUP($A$2,$C$1:$S$2,2,FALSE))*AP19/(HLOOKUP(AQ$6,$C$1:$S$2,2,FALSE)))</f>
        <v/>
      </c>
      <c r="AQ44" s="162" t="str">
        <f t="shared" ref="AQ44:AQ56" si="15">IF(AQ19="","",(HLOOKUP($A$2,$C$1:$S$2,2,FALSE))*AQ19/(HLOOKUP(AQ$6,$C$1:$S$2,2,FALSE)))</f>
        <v/>
      </c>
      <c r="AR44" s="161" t="str">
        <f t="shared" ref="AR44:AR56" si="16">IF(AR19="","",(HLOOKUP($A$2,$C$1:$S$2,2,FALSE))*AR19/(HLOOKUP(AT$6,$C$1:$S$2,2,FALSE)))</f>
        <v/>
      </c>
      <c r="AS44" s="132" t="str">
        <f t="shared" ref="AS44:AS56" si="17">IF(AS19="","",(HLOOKUP($A$2,$C$1:$S$2,2,FALSE))*AS19/(HLOOKUP(AT$6,$C$1:$S$2,2,FALSE)))</f>
        <v/>
      </c>
      <c r="AT44" s="162" t="str">
        <f t="shared" ref="AT44:AT56" si="18">IF(AT19="","",(HLOOKUP($A$2,$C$1:$S$2,2,FALSE))*AT19/(HLOOKUP(AT$6,$C$1:$S$2,2,FALSE)))</f>
        <v/>
      </c>
      <c r="AU44" s="161" t="str">
        <f t="shared" ref="AU44:AU56" si="19">IF(AU19="","",(HLOOKUP($A$2,$C$1:$S$2,2,FALSE))*AU19/(HLOOKUP(AW$6,$C$1:$S$2,2,FALSE)))</f>
        <v/>
      </c>
      <c r="AV44" s="132" t="str">
        <f t="shared" ref="AV44:AV56" si="20">IF(AV19="","",(HLOOKUP($A$2,$C$1:$S$2,2,FALSE))*AV19/(HLOOKUP(AW$6,$C$1:$S$2,2,FALSE)))</f>
        <v/>
      </c>
      <c r="AW44" s="162" t="str">
        <f t="shared" ref="AW44:AW56" si="21">IF(AW19="","",(HLOOKUP($A$2,$C$1:$S$2,2,FALSE))*AW19/(HLOOKUP(AW$6,$C$1:$S$2,2,FALSE)))</f>
        <v/>
      </c>
      <c r="AX44" s="161" t="str">
        <f t="shared" ref="AX44:AX56" si="22">IF(AX19="","",(HLOOKUP($A$2,$C$1:$S$2,2,FALSE))*AX19/(HLOOKUP(AZ$6,$C$1:$S$2,2,FALSE)))</f>
        <v/>
      </c>
      <c r="AY44" s="132" t="str">
        <f t="shared" ref="AY44:AY56" si="23">IF(AY19="","",(HLOOKUP($A$2,$C$1:$S$2,2,FALSE))*AY19/(HLOOKUP(AZ$6,$C$1:$S$2,2,FALSE)))</f>
        <v/>
      </c>
      <c r="AZ44" s="162" t="str">
        <f t="shared" ref="AZ44:AZ56" si="24">IF(AZ19="","",(HLOOKUP($A$2,$C$1:$S$2,2,FALSE))*AZ19/(HLOOKUP(AZ$6,$C$1:$S$2,2,FALSE)))</f>
        <v/>
      </c>
      <c r="BA44" s="132">
        <v>12</v>
      </c>
    </row>
    <row r="45" spans="2:53" x14ac:dyDescent="0.25">
      <c r="B45" s="149">
        <f>IF(B20="","",IF($A$2="°F",Patrones!B20*1.8+32,Patrones!B20))</f>
        <v>149.39099999999999</v>
      </c>
      <c r="C45" s="150">
        <f>IF(C20="","",IF($A$2="°F",Patrones!C20*1.8+32,Patrones!C20))</f>
        <v>8.7999999999999995E-2</v>
      </c>
      <c r="D45" s="151">
        <f>IF(D20="","",IF($A$2="°F",Patrones!D20*1.8+32,Patrones!D20))</f>
        <v>4.2000000000000003E-2</v>
      </c>
      <c r="E45" s="149" t="str">
        <f t="shared" si="5"/>
        <v/>
      </c>
      <c r="F45" s="150" t="str">
        <f t="shared" si="6"/>
        <v/>
      </c>
      <c r="G45" s="150" t="str">
        <f t="shared" si="7"/>
        <v/>
      </c>
      <c r="H45" s="149">
        <f>IF(H20="","",IF($A$2="°F",Patrones!H20*1.8+32,Patrones!H20))</f>
        <v>299.95</v>
      </c>
      <c r="I45" s="150">
        <f>IF(I20="","",IF($A$2="°F",Patrones!I20*1.8+32,Patrones!I20))</f>
        <v>-2.1000000000000001E-2</v>
      </c>
      <c r="J45" s="151">
        <f>IF(J20="","",IF($A$2="°F",Patrones!J20*1.8+32,Patrones!J20))</f>
        <v>0.11</v>
      </c>
      <c r="K45" s="149" t="str">
        <f>IF(K20="","",IF($A$2="°F",Patrones!K20*1.8+32,Patrones!K20))</f>
        <v/>
      </c>
      <c r="L45" s="150" t="str">
        <f>IF(L20="","",IF($A$2="°F",Patrones!L20*1.8+32,Patrones!L20))</f>
        <v/>
      </c>
      <c r="M45" s="151" t="str">
        <f>IF(M20="","",IF($A$2="°F",Patrones!M20*1.8+32,Patrones!M20))</f>
        <v/>
      </c>
      <c r="N45" s="165"/>
      <c r="O45" s="150" t="str">
        <f t="shared" si="8"/>
        <v/>
      </c>
      <c r="P45" s="150" t="str">
        <f t="shared" si="9"/>
        <v/>
      </c>
      <c r="Q45" s="161" t="str">
        <f t="shared" si="10"/>
        <v/>
      </c>
      <c r="R45" s="132" t="str">
        <f t="shared" si="11"/>
        <v/>
      </c>
      <c r="S45" s="162" t="str">
        <f t="shared" si="12"/>
        <v/>
      </c>
      <c r="T45" s="149" t="str">
        <f>IF(T20="","",IF($A$2="°F",Patrones!T20*1.8+32,Patrones!T20))</f>
        <v/>
      </c>
      <c r="U45" s="150" t="str">
        <f>IF(U20="","",IF($A$2="°F",Patrones!U20*1.8+32,Patrones!U20))</f>
        <v/>
      </c>
      <c r="V45" s="151" t="str">
        <f>IF(V20="","",IF($A$2="°F",Patrones!V20*1.8+32,Patrones!V20))</f>
        <v/>
      </c>
      <c r="W45" s="161" t="str">
        <f t="shared" si="2"/>
        <v/>
      </c>
      <c r="X45" s="153" t="str">
        <f t="shared" si="3"/>
        <v/>
      </c>
      <c r="Y45" s="151" t="str">
        <f t="shared" si="4"/>
        <v/>
      </c>
      <c r="Z45" s="161" t="str">
        <f t="shared" ref="Z45:Z56" si="25">IF(Z20="","",(HLOOKUP($A$2,$C$1:$S$2,2,FALSE))*Z20/(HLOOKUP(AB$6,$C$1:$S$2,2,FALSE)))</f>
        <v/>
      </c>
      <c r="AA45" s="153" t="str">
        <f t="shared" ref="AA45:AA56" si="26">IF(AA20="","",(HLOOKUP($A$2,$C$1:$S$2,2,FALSE))*AA20/(HLOOKUP(AB$6,$C$1:$S$2,2,FALSE)))</f>
        <v/>
      </c>
      <c r="AB45" s="151" t="str">
        <f t="shared" ref="AB45:AB56" si="27">IF(AB20="","",(HLOOKUP($A$2,$C$1:$S$2,2,FALSE))*AB20/(HLOOKUP(AB$6,$C$1:$S$2,2,FALSE)))</f>
        <v/>
      </c>
      <c r="AC45" s="161" t="str">
        <f t="shared" ref="AC45:AC56" si="28">IF(AC20="","",(HLOOKUP($A$2,$C$1:$S$2,2,FALSE))*AC20/(HLOOKUP(AE$6,$C$1:$S$2,2,FALSE)))</f>
        <v/>
      </c>
      <c r="AD45" s="153" t="str">
        <f t="shared" ref="AD45:AD56" si="29">IF(AD20="","",(HLOOKUP($A$2,$C$1:$S$2,2,FALSE))*AD20/(HLOOKUP(AE$6,$C$1:$S$2,2,FALSE)))</f>
        <v/>
      </c>
      <c r="AE45" s="151" t="str">
        <f t="shared" ref="AE45:AE56" si="30">IF(AE20="","",(HLOOKUP($A$2,$C$1:$S$2,2,FALSE))*AE20/(HLOOKUP(AE$6,$C$1:$S$2,2,FALSE)))</f>
        <v/>
      </c>
      <c r="AF45" s="161" t="str">
        <f t="shared" ref="AF45:AF56" si="31">IF(AF20="","",(HLOOKUP($A$2,$C$1:$S$2,2,FALSE))*AF20/(HLOOKUP(AH$6,$C$1:$S$2,2,FALSE)))</f>
        <v/>
      </c>
      <c r="AG45" s="132" t="str">
        <f t="shared" ref="AG45:AG56" si="32">IF(AG20="","",(HLOOKUP($A$2,$C$1:$S$2,2,FALSE))*AG20/(HLOOKUP(AH$6,$C$1:$S$2,2,FALSE)))</f>
        <v/>
      </c>
      <c r="AH45" s="162" t="str">
        <f t="shared" ref="AH45:AH56" si="33">IF(AH20="","",(HLOOKUP($A$2,$C$1:$S$2,2,FALSE))*AH20/(HLOOKUP(AH$6,$C$1:$S$2,2,FALSE)))</f>
        <v/>
      </c>
      <c r="AI45" s="161" t="str">
        <f t="shared" ref="AI45:AI56" si="34">IF(AI20="","",(HLOOKUP($A$2,$C$1:$S$2,2,FALSE))*AI20/(HLOOKUP(AK$6,$C$1:$S$2,2,FALSE)))</f>
        <v/>
      </c>
      <c r="AJ45" s="132" t="str">
        <f t="shared" ref="AJ45:AJ56" si="35">IF(AJ20="","",(HLOOKUP($A$2,$C$1:$S$2,2,FALSE))*AJ20/(HLOOKUP(AK$6,$C$1:$S$2,2,FALSE)))</f>
        <v/>
      </c>
      <c r="AK45" s="162" t="str">
        <f t="shared" ref="AK45:AK56" si="36">IF(AK20="","",(HLOOKUP($A$2,$C$1:$S$2,2,FALSE))*AK20/(HLOOKUP(AK$6,$C$1:$S$2,2,FALSE)))</f>
        <v/>
      </c>
      <c r="AL45" s="149">
        <f>IF(AL20="","",IF($A$2="°F",Patrones!AL20*1.8+32,Patrones!AL20))</f>
        <v>300.2</v>
      </c>
      <c r="AM45" s="150">
        <f>IF(AM20="","",IF($A$2="°F",Patrones!AM20*1.8+32,Patrones!AM20))</f>
        <v>0.153</v>
      </c>
      <c r="AN45" s="151">
        <f>IF(AN20="","",IF($A$2="°F",Patrones!AN20*1.8+32,Patrones!AN20))</f>
        <v>0.153</v>
      </c>
      <c r="AO45" s="161" t="str">
        <f t="shared" si="13"/>
        <v/>
      </c>
      <c r="AP45" s="132" t="str">
        <f t="shared" si="14"/>
        <v/>
      </c>
      <c r="AQ45" s="162" t="str">
        <f t="shared" si="15"/>
        <v/>
      </c>
      <c r="AR45" s="161" t="str">
        <f t="shared" si="16"/>
        <v/>
      </c>
      <c r="AS45" s="132" t="str">
        <f t="shared" si="17"/>
        <v/>
      </c>
      <c r="AT45" s="162" t="str">
        <f t="shared" si="18"/>
        <v/>
      </c>
      <c r="AU45" s="161" t="str">
        <f t="shared" si="19"/>
        <v/>
      </c>
      <c r="AV45" s="132" t="str">
        <f t="shared" si="20"/>
        <v/>
      </c>
      <c r="AW45" s="162" t="str">
        <f t="shared" si="21"/>
        <v/>
      </c>
      <c r="AX45" s="161" t="str">
        <f t="shared" si="22"/>
        <v/>
      </c>
      <c r="AY45" s="132" t="str">
        <f t="shared" si="23"/>
        <v/>
      </c>
      <c r="AZ45" s="162" t="str">
        <f t="shared" si="24"/>
        <v/>
      </c>
      <c r="BA45" s="132">
        <v>13</v>
      </c>
    </row>
    <row r="46" spans="2:53" x14ac:dyDescent="0.25">
      <c r="B46" s="149">
        <f>IF(B21="","",IF($A$2="°F",Patrones!B21*1.8+32,Patrones!B21))</f>
        <v>199.30500000000001</v>
      </c>
      <c r="C46" s="150">
        <f>IF(C21="","",IF($A$2="°F",Patrones!C21*1.8+32,Patrones!C21))</f>
        <v>0.23899999999999999</v>
      </c>
      <c r="D46" s="151">
        <f>IF(D21="","",IF($A$2="°F",Patrones!D21*1.8+32,Patrones!D21))</f>
        <v>4.2000000000000003E-2</v>
      </c>
      <c r="E46" s="149" t="str">
        <f t="shared" si="5"/>
        <v/>
      </c>
      <c r="F46" s="150" t="str">
        <f t="shared" si="6"/>
        <v/>
      </c>
      <c r="G46" s="150" t="str">
        <f t="shared" si="7"/>
        <v/>
      </c>
      <c r="H46" s="149">
        <f>IF(H21="","",IF($A$2="°F",Patrones!H21*1.8+32,Patrones!H21))</f>
        <v>349.95</v>
      </c>
      <c r="I46" s="150">
        <f>IF(I21="","",IF($A$2="°F",Patrones!I21*1.8+32,Patrones!I21))</f>
        <v>1.0999999999999999E-2</v>
      </c>
      <c r="J46" s="151">
        <f>IF(J21="","",IF($A$2="°F",Patrones!J21*1.8+32,Patrones!J21))</f>
        <v>0.11</v>
      </c>
      <c r="K46" s="174" t="str">
        <f t="shared" ref="K46:K56" si="37">IF(K21="","",(HLOOKUP($A$2,$C$1:$S$2,2,FALSE))*K21/(HLOOKUP(M$6,$C$1:$S$2,2,FALSE)))</f>
        <v/>
      </c>
      <c r="L46" s="158" t="str">
        <f t="shared" ref="L46:L56" si="38">IF(L21="","",(HLOOKUP($A$2,$C$1:$S$2,2,FALSE))*L21/(HLOOKUP(M$6,$C$1:$S$2,2,FALSE)))</f>
        <v/>
      </c>
      <c r="M46" s="159" t="str">
        <f t="shared" ref="M46:M56" si="39">IF(M21="","",(HLOOKUP($A$2,$C$1:$S$2,2,FALSE))*M21/(HLOOKUP(M$6,$C$1:$S$2,2,FALSE)))</f>
        <v/>
      </c>
      <c r="N46" s="165"/>
      <c r="O46" s="150" t="str">
        <f t="shared" si="8"/>
        <v/>
      </c>
      <c r="P46" s="150" t="str">
        <f t="shared" si="9"/>
        <v/>
      </c>
      <c r="Q46" s="165" t="str">
        <f t="shared" si="10"/>
        <v/>
      </c>
      <c r="R46" s="132" t="str">
        <f t="shared" si="11"/>
        <v/>
      </c>
      <c r="S46" s="162" t="str">
        <f t="shared" si="12"/>
        <v/>
      </c>
      <c r="T46" s="165" t="str">
        <f t="shared" ref="T46:T56" si="40">IF(T21="","",(HLOOKUP($A$2,$C$1:$S$2,2,FALSE))*T21/(HLOOKUP(V$6,$C$1:$S$2,2,FALSE)))</f>
        <v/>
      </c>
      <c r="U46" s="132" t="str">
        <f t="shared" ref="U46:U56" si="41">IF(U21="","",(HLOOKUP($A$2,$C$1:$S$2,2,FALSE))*U21/(HLOOKUP(V$6,$C$1:$S$2,2,FALSE)))</f>
        <v/>
      </c>
      <c r="V46" s="162" t="str">
        <f t="shared" ref="V46:V56" si="42">IF(V21="","",(HLOOKUP($A$2,$C$1:$S$2,2,FALSE))*V21/(HLOOKUP(V$6,$C$1:$S$2,2,FALSE)))</f>
        <v/>
      </c>
      <c r="W46" s="165" t="str">
        <f t="shared" si="2"/>
        <v/>
      </c>
      <c r="X46" s="153" t="str">
        <f t="shared" si="3"/>
        <v/>
      </c>
      <c r="Y46" s="151" t="str">
        <f t="shared" si="4"/>
        <v/>
      </c>
      <c r="Z46" s="165" t="str">
        <f t="shared" si="25"/>
        <v/>
      </c>
      <c r="AA46" s="153" t="str">
        <f t="shared" si="26"/>
        <v/>
      </c>
      <c r="AB46" s="151" t="str">
        <f t="shared" si="27"/>
        <v/>
      </c>
      <c r="AC46" s="165" t="str">
        <f t="shared" si="28"/>
        <v/>
      </c>
      <c r="AD46" s="153" t="str">
        <f t="shared" si="29"/>
        <v/>
      </c>
      <c r="AE46" s="151" t="str">
        <f t="shared" si="30"/>
        <v/>
      </c>
      <c r="AF46" s="165" t="str">
        <f t="shared" si="31"/>
        <v/>
      </c>
      <c r="AG46" s="132" t="str">
        <f t="shared" si="32"/>
        <v/>
      </c>
      <c r="AH46" s="162" t="str">
        <f t="shared" si="33"/>
        <v/>
      </c>
      <c r="AI46" s="165" t="str">
        <f t="shared" si="34"/>
        <v/>
      </c>
      <c r="AJ46" s="132" t="str">
        <f t="shared" si="35"/>
        <v/>
      </c>
      <c r="AK46" s="162" t="str">
        <f t="shared" si="36"/>
        <v/>
      </c>
      <c r="AL46" s="165" t="str">
        <f t="shared" ref="AL46:AL56" si="43">IF(AL21="","",(HLOOKUP($A$2,$C$1:$S$2,2,FALSE))*AL21/(HLOOKUP(AN$6,$C$1:$S$2,2,FALSE)))</f>
        <v/>
      </c>
      <c r="AM46" s="132" t="str">
        <f t="shared" ref="AM46:AM56" si="44">IF(AM21="","",(HLOOKUP($A$2,$C$1:$S$2,2,FALSE))*AM21/(HLOOKUP(AN$6,$C$1:$S$2,2,FALSE)))</f>
        <v/>
      </c>
      <c r="AN46" s="162" t="str">
        <f t="shared" ref="AN46:AN56" si="45">IF(AN21="","",(HLOOKUP($A$2,$C$1:$S$2,2,FALSE))*AN21/(HLOOKUP(AN$6,$C$1:$S$2,2,FALSE)))</f>
        <v/>
      </c>
      <c r="AO46" s="165" t="str">
        <f t="shared" si="13"/>
        <v/>
      </c>
      <c r="AP46" s="132" t="str">
        <f t="shared" si="14"/>
        <v/>
      </c>
      <c r="AQ46" s="162" t="str">
        <f t="shared" si="15"/>
        <v/>
      </c>
      <c r="AR46" s="165" t="str">
        <f t="shared" si="16"/>
        <v/>
      </c>
      <c r="AS46" s="132" t="str">
        <f t="shared" si="17"/>
        <v/>
      </c>
      <c r="AT46" s="162" t="str">
        <f t="shared" si="18"/>
        <v/>
      </c>
      <c r="AU46" s="165" t="str">
        <f t="shared" si="19"/>
        <v/>
      </c>
      <c r="AV46" s="132" t="str">
        <f t="shared" si="20"/>
        <v/>
      </c>
      <c r="AW46" s="162" t="str">
        <f t="shared" si="21"/>
        <v/>
      </c>
      <c r="AX46" s="165" t="str">
        <f t="shared" si="22"/>
        <v/>
      </c>
      <c r="AY46" s="132" t="str">
        <f t="shared" si="23"/>
        <v/>
      </c>
      <c r="AZ46" s="162" t="str">
        <f t="shared" si="24"/>
        <v/>
      </c>
      <c r="BA46" s="132">
        <v>14</v>
      </c>
    </row>
    <row r="47" spans="2:53" x14ac:dyDescent="0.25">
      <c r="B47" s="149">
        <f>IF(B22="","",IF($A$2="°F",Patrones!B22*1.8+32,Patrones!B22))</f>
        <v>249.58699999999999</v>
      </c>
      <c r="C47" s="150">
        <f>IF(C22="","",IF($A$2="°F",Patrones!C22*1.8+32,Patrones!C22))</f>
        <v>0.245</v>
      </c>
      <c r="D47" s="151">
        <f>IF(D22="","",IF($A$2="°F",Patrones!D22*1.8+32,Patrones!D22))</f>
        <v>4.2000000000000003E-2</v>
      </c>
      <c r="E47" s="149" t="str">
        <f t="shared" si="5"/>
        <v/>
      </c>
      <c r="F47" s="150" t="str">
        <f t="shared" si="6"/>
        <v/>
      </c>
      <c r="G47" s="150" t="str">
        <f t="shared" si="7"/>
        <v/>
      </c>
      <c r="H47" s="149">
        <f>IF(H22="","",IF($A$2="°F",Patrones!H22*1.8+32,Patrones!H22))</f>
        <v>400</v>
      </c>
      <c r="I47" s="150">
        <f>IF(I22="","",IF($A$2="°F",Patrones!I22*1.8+32,Patrones!I22))</f>
        <v>3.2000000000000001E-2</v>
      </c>
      <c r="J47" s="151">
        <f>IF(J22="","",IF($A$2="°F",Patrones!J22*1.8+32,Patrones!J22))</f>
        <v>0.11</v>
      </c>
      <c r="K47" s="174" t="str">
        <f t="shared" si="37"/>
        <v/>
      </c>
      <c r="L47" s="158" t="str">
        <f t="shared" si="38"/>
        <v/>
      </c>
      <c r="M47" s="159" t="str">
        <f t="shared" si="39"/>
        <v/>
      </c>
      <c r="N47" s="165"/>
      <c r="O47" s="150" t="str">
        <f t="shared" si="8"/>
        <v/>
      </c>
      <c r="P47" s="150" t="str">
        <f t="shared" si="9"/>
        <v/>
      </c>
      <c r="Q47" s="165" t="str">
        <f t="shared" si="10"/>
        <v/>
      </c>
      <c r="R47" s="132" t="str">
        <f t="shared" si="11"/>
        <v/>
      </c>
      <c r="S47" s="162" t="str">
        <f t="shared" si="12"/>
        <v/>
      </c>
      <c r="T47" s="165" t="str">
        <f t="shared" si="40"/>
        <v/>
      </c>
      <c r="U47" s="132" t="str">
        <f t="shared" si="41"/>
        <v/>
      </c>
      <c r="V47" s="162" t="str">
        <f t="shared" si="42"/>
        <v/>
      </c>
      <c r="W47" s="165" t="str">
        <f t="shared" si="2"/>
        <v/>
      </c>
      <c r="X47" s="150" t="str">
        <f t="shared" si="3"/>
        <v/>
      </c>
      <c r="Y47" s="151" t="str">
        <f t="shared" si="4"/>
        <v/>
      </c>
      <c r="Z47" s="165" t="str">
        <f t="shared" si="25"/>
        <v/>
      </c>
      <c r="AA47" s="150" t="str">
        <f t="shared" si="26"/>
        <v/>
      </c>
      <c r="AB47" s="151" t="str">
        <f t="shared" si="27"/>
        <v/>
      </c>
      <c r="AC47" s="165" t="str">
        <f t="shared" si="28"/>
        <v/>
      </c>
      <c r="AD47" s="150" t="str">
        <f t="shared" si="29"/>
        <v/>
      </c>
      <c r="AE47" s="151" t="str">
        <f t="shared" si="30"/>
        <v/>
      </c>
      <c r="AF47" s="165" t="str">
        <f t="shared" si="31"/>
        <v/>
      </c>
      <c r="AG47" s="132" t="str">
        <f t="shared" si="32"/>
        <v/>
      </c>
      <c r="AH47" s="162" t="str">
        <f t="shared" si="33"/>
        <v/>
      </c>
      <c r="AI47" s="165" t="str">
        <f t="shared" si="34"/>
        <v/>
      </c>
      <c r="AJ47" s="132" t="str">
        <f t="shared" si="35"/>
        <v/>
      </c>
      <c r="AK47" s="162" t="str">
        <f t="shared" si="36"/>
        <v/>
      </c>
      <c r="AL47" s="165" t="str">
        <f t="shared" si="43"/>
        <v/>
      </c>
      <c r="AM47" s="132" t="str">
        <f t="shared" si="44"/>
        <v/>
      </c>
      <c r="AN47" s="162" t="str">
        <f t="shared" si="45"/>
        <v/>
      </c>
      <c r="AO47" s="165" t="str">
        <f t="shared" si="13"/>
        <v/>
      </c>
      <c r="AP47" s="132" t="str">
        <f t="shared" si="14"/>
        <v/>
      </c>
      <c r="AQ47" s="162" t="str">
        <f t="shared" si="15"/>
        <v/>
      </c>
      <c r="AR47" s="165" t="str">
        <f t="shared" si="16"/>
        <v/>
      </c>
      <c r="AS47" s="132" t="str">
        <f t="shared" si="17"/>
        <v/>
      </c>
      <c r="AT47" s="162" t="str">
        <f t="shared" si="18"/>
        <v/>
      </c>
      <c r="AU47" s="165" t="str">
        <f t="shared" si="19"/>
        <v/>
      </c>
      <c r="AV47" s="132" t="str">
        <f t="shared" si="20"/>
        <v/>
      </c>
      <c r="AW47" s="162" t="str">
        <f t="shared" si="21"/>
        <v/>
      </c>
      <c r="AX47" s="165" t="str">
        <f t="shared" si="22"/>
        <v/>
      </c>
      <c r="AY47" s="132" t="str">
        <f t="shared" si="23"/>
        <v/>
      </c>
      <c r="AZ47" s="162" t="str">
        <f t="shared" si="24"/>
        <v/>
      </c>
      <c r="BA47" s="132">
        <v>15</v>
      </c>
    </row>
    <row r="48" spans="2:53" x14ac:dyDescent="0.25">
      <c r="B48" s="149">
        <f>IF(B23="","",IF($A$2="°F",Patrones!B23*1.8+32,Patrones!B23))</f>
        <v>299.30799999999999</v>
      </c>
      <c r="C48" s="150">
        <f>IF(C23="","",IF($A$2="°F",Patrones!C23*1.8+32,Patrones!C23))</f>
        <v>0.27500000000000002</v>
      </c>
      <c r="D48" s="151">
        <f>IF(D23="","",IF($A$2="°F",Patrones!D23*1.8+32,Patrones!D23))</f>
        <v>4.2000000000000003E-2</v>
      </c>
      <c r="E48" s="149" t="str">
        <f t="shared" si="5"/>
        <v/>
      </c>
      <c r="F48" s="150" t="str">
        <f t="shared" si="6"/>
        <v/>
      </c>
      <c r="G48" s="150" t="str">
        <f t="shared" si="7"/>
        <v/>
      </c>
      <c r="H48" s="149" t="str">
        <f>IF(H23="","",IF($A$2="°F",Patrones!H23*1.8+32,Patrones!H23))</f>
        <v/>
      </c>
      <c r="I48" s="150" t="str">
        <f t="shared" ref="I48:I56" si="46">IF(I23="","",(HLOOKUP($A$2,$C$1:$S$2,2,FALSE))*I23/(HLOOKUP(J$6,$C$1:$S$2,2,FALSE)))</f>
        <v/>
      </c>
      <c r="J48" s="151" t="str">
        <f t="shared" ref="J48:J56" si="47">IF(J23="","",(HLOOKUP($A$2,$C$1:$S$2,2,FALSE))*J23/(HLOOKUP(J$6,$C$1:$S$2,2,FALSE)))</f>
        <v/>
      </c>
      <c r="K48" s="165" t="str">
        <f t="shared" si="37"/>
        <v/>
      </c>
      <c r="L48" s="150" t="str">
        <f t="shared" si="38"/>
        <v/>
      </c>
      <c r="M48" s="151" t="str">
        <f t="shared" si="39"/>
        <v/>
      </c>
      <c r="N48" s="165"/>
      <c r="O48" s="150" t="str">
        <f t="shared" si="8"/>
        <v/>
      </c>
      <c r="P48" s="150" t="str">
        <f t="shared" si="9"/>
        <v/>
      </c>
      <c r="Q48" s="165" t="str">
        <f t="shared" si="10"/>
        <v/>
      </c>
      <c r="R48" s="132" t="str">
        <f t="shared" si="11"/>
        <v/>
      </c>
      <c r="S48" s="162" t="str">
        <f t="shared" si="12"/>
        <v/>
      </c>
      <c r="T48" s="165" t="str">
        <f t="shared" si="40"/>
        <v/>
      </c>
      <c r="U48" s="132" t="str">
        <f t="shared" si="41"/>
        <v/>
      </c>
      <c r="V48" s="162" t="str">
        <f t="shared" si="42"/>
        <v/>
      </c>
      <c r="W48" s="165" t="str">
        <f t="shared" si="2"/>
        <v/>
      </c>
      <c r="X48" s="150" t="str">
        <f t="shared" si="3"/>
        <v/>
      </c>
      <c r="Y48" s="151" t="str">
        <f t="shared" si="4"/>
        <v/>
      </c>
      <c r="Z48" s="165" t="str">
        <f t="shared" si="25"/>
        <v/>
      </c>
      <c r="AA48" s="150" t="str">
        <f t="shared" si="26"/>
        <v/>
      </c>
      <c r="AB48" s="151" t="str">
        <f t="shared" si="27"/>
        <v/>
      </c>
      <c r="AC48" s="165" t="str">
        <f t="shared" si="28"/>
        <v/>
      </c>
      <c r="AD48" s="150" t="str">
        <f t="shared" si="29"/>
        <v/>
      </c>
      <c r="AE48" s="151" t="str">
        <f t="shared" si="30"/>
        <v/>
      </c>
      <c r="AF48" s="165" t="str">
        <f t="shared" si="31"/>
        <v/>
      </c>
      <c r="AG48" s="132" t="str">
        <f t="shared" si="32"/>
        <v/>
      </c>
      <c r="AH48" s="162" t="str">
        <f t="shared" si="33"/>
        <v/>
      </c>
      <c r="AI48" s="165" t="str">
        <f t="shared" si="34"/>
        <v/>
      </c>
      <c r="AJ48" s="132" t="str">
        <f t="shared" si="35"/>
        <v/>
      </c>
      <c r="AK48" s="162" t="str">
        <f t="shared" si="36"/>
        <v/>
      </c>
      <c r="AL48" s="165" t="str">
        <f t="shared" si="43"/>
        <v/>
      </c>
      <c r="AM48" s="132" t="str">
        <f t="shared" si="44"/>
        <v/>
      </c>
      <c r="AN48" s="162" t="str">
        <f t="shared" si="45"/>
        <v/>
      </c>
      <c r="AO48" s="165" t="str">
        <f t="shared" si="13"/>
        <v/>
      </c>
      <c r="AP48" s="132" t="str">
        <f t="shared" si="14"/>
        <v/>
      </c>
      <c r="AQ48" s="162" t="str">
        <f t="shared" si="15"/>
        <v/>
      </c>
      <c r="AR48" s="165" t="str">
        <f t="shared" si="16"/>
        <v/>
      </c>
      <c r="AS48" s="132" t="str">
        <f t="shared" si="17"/>
        <v/>
      </c>
      <c r="AT48" s="162" t="str">
        <f t="shared" si="18"/>
        <v/>
      </c>
      <c r="AU48" s="165" t="str">
        <f t="shared" si="19"/>
        <v/>
      </c>
      <c r="AV48" s="132" t="str">
        <f t="shared" si="20"/>
        <v/>
      </c>
      <c r="AW48" s="162" t="str">
        <f t="shared" si="21"/>
        <v/>
      </c>
      <c r="AX48" s="165" t="str">
        <f t="shared" si="22"/>
        <v/>
      </c>
      <c r="AY48" s="132" t="str">
        <f t="shared" si="23"/>
        <v/>
      </c>
      <c r="AZ48" s="162" t="str">
        <f t="shared" si="24"/>
        <v/>
      </c>
      <c r="BA48" s="132">
        <v>16</v>
      </c>
    </row>
    <row r="49" spans="1:53" x14ac:dyDescent="0.25">
      <c r="B49" s="149">
        <f>IF(B24="","",IF($A$2="°F",Patrones!B24*1.8+32,Patrones!B24))</f>
        <v>349.06599999999997</v>
      </c>
      <c r="C49" s="150">
        <f>IF(C24="","",IF($A$2="°F",Patrones!C24*1.8+32,Patrones!C24))</f>
        <v>0.32500000000000001</v>
      </c>
      <c r="D49" s="151">
        <f>IF(D24="","",IF($A$2="°F",Patrones!D24*1.8+32,Patrones!D24))</f>
        <v>4.2000000000000003E-2</v>
      </c>
      <c r="E49" s="149" t="str">
        <f t="shared" si="5"/>
        <v/>
      </c>
      <c r="F49" s="150" t="str">
        <f t="shared" si="6"/>
        <v/>
      </c>
      <c r="G49" s="150" t="str">
        <f t="shared" si="7"/>
        <v/>
      </c>
      <c r="H49" s="149" t="str">
        <f>IF(H24="","",IF($A$2="°F",Patrones!H24*1.8+32,Patrones!H24))</f>
        <v/>
      </c>
      <c r="I49" s="150" t="str">
        <f t="shared" si="46"/>
        <v/>
      </c>
      <c r="J49" s="151" t="str">
        <f t="shared" si="47"/>
        <v/>
      </c>
      <c r="K49" s="165" t="str">
        <f t="shared" si="37"/>
        <v/>
      </c>
      <c r="L49" s="150" t="str">
        <f t="shared" si="38"/>
        <v/>
      </c>
      <c r="M49" s="151" t="str">
        <f t="shared" si="39"/>
        <v/>
      </c>
      <c r="N49" s="165"/>
      <c r="O49" s="150" t="str">
        <f t="shared" si="8"/>
        <v/>
      </c>
      <c r="P49" s="150" t="str">
        <f t="shared" si="9"/>
        <v/>
      </c>
      <c r="Q49" s="165" t="str">
        <f t="shared" si="10"/>
        <v/>
      </c>
      <c r="R49" s="132" t="str">
        <f t="shared" si="11"/>
        <v/>
      </c>
      <c r="S49" s="162" t="str">
        <f t="shared" si="12"/>
        <v/>
      </c>
      <c r="T49" s="165" t="str">
        <f t="shared" si="40"/>
        <v/>
      </c>
      <c r="U49" s="132" t="str">
        <f t="shared" si="41"/>
        <v/>
      </c>
      <c r="V49" s="162" t="str">
        <f t="shared" si="42"/>
        <v/>
      </c>
      <c r="W49" s="165" t="str">
        <f t="shared" si="2"/>
        <v/>
      </c>
      <c r="X49" s="150" t="str">
        <f t="shared" si="3"/>
        <v/>
      </c>
      <c r="Y49" s="151" t="str">
        <f t="shared" si="4"/>
        <v/>
      </c>
      <c r="Z49" s="165" t="str">
        <f t="shared" si="25"/>
        <v/>
      </c>
      <c r="AA49" s="150" t="str">
        <f t="shared" si="26"/>
        <v/>
      </c>
      <c r="AB49" s="151" t="str">
        <f t="shared" si="27"/>
        <v/>
      </c>
      <c r="AC49" s="165" t="str">
        <f t="shared" si="28"/>
        <v/>
      </c>
      <c r="AD49" s="150" t="str">
        <f t="shared" si="29"/>
        <v/>
      </c>
      <c r="AE49" s="151" t="str">
        <f t="shared" si="30"/>
        <v/>
      </c>
      <c r="AF49" s="165" t="str">
        <f t="shared" si="31"/>
        <v/>
      </c>
      <c r="AG49" s="132" t="str">
        <f t="shared" si="32"/>
        <v/>
      </c>
      <c r="AH49" s="162" t="str">
        <f t="shared" si="33"/>
        <v/>
      </c>
      <c r="AI49" s="165" t="str">
        <f t="shared" si="34"/>
        <v/>
      </c>
      <c r="AJ49" s="132" t="str">
        <f t="shared" si="35"/>
        <v/>
      </c>
      <c r="AK49" s="162" t="str">
        <f t="shared" si="36"/>
        <v/>
      </c>
      <c r="AL49" s="165" t="str">
        <f t="shared" si="43"/>
        <v/>
      </c>
      <c r="AM49" s="132" t="str">
        <f t="shared" si="44"/>
        <v/>
      </c>
      <c r="AN49" s="162" t="str">
        <f t="shared" si="45"/>
        <v/>
      </c>
      <c r="AO49" s="165" t="str">
        <f t="shared" si="13"/>
        <v/>
      </c>
      <c r="AP49" s="132" t="str">
        <f t="shared" si="14"/>
        <v/>
      </c>
      <c r="AQ49" s="162" t="str">
        <f t="shared" si="15"/>
        <v/>
      </c>
      <c r="AR49" s="165" t="str">
        <f t="shared" si="16"/>
        <v/>
      </c>
      <c r="AS49" s="132" t="str">
        <f t="shared" si="17"/>
        <v/>
      </c>
      <c r="AT49" s="162" t="str">
        <f t="shared" si="18"/>
        <v/>
      </c>
      <c r="AU49" s="165" t="str">
        <f t="shared" si="19"/>
        <v/>
      </c>
      <c r="AV49" s="132" t="str">
        <f t="shared" si="20"/>
        <v/>
      </c>
      <c r="AW49" s="162" t="str">
        <f t="shared" si="21"/>
        <v/>
      </c>
      <c r="AX49" s="165" t="str">
        <f t="shared" si="22"/>
        <v/>
      </c>
      <c r="AY49" s="132" t="str">
        <f t="shared" si="23"/>
        <v/>
      </c>
      <c r="AZ49" s="162" t="str">
        <f t="shared" si="24"/>
        <v/>
      </c>
      <c r="BA49" s="132">
        <v>17</v>
      </c>
    </row>
    <row r="50" spans="1:53" x14ac:dyDescent="0.25">
      <c r="B50" s="149">
        <f>IF(B25="","",IF($A$2="°F",Patrones!B25*1.8+32,Patrones!B25))</f>
        <v>399.31700000000001</v>
      </c>
      <c r="C50" s="150">
        <f>IF(C25="","",IF($A$2="°F",Patrones!C25*1.8+32,Patrones!C25))</f>
        <v>0.54700000000000004</v>
      </c>
      <c r="D50" s="151">
        <f>IF(D25="","",IF($A$2="°F",Patrones!D25*1.8+32,Patrones!D25))</f>
        <v>4.2000000000000003E-2</v>
      </c>
      <c r="E50" s="149" t="str">
        <f t="shared" si="5"/>
        <v/>
      </c>
      <c r="F50" s="150" t="str">
        <f t="shared" si="6"/>
        <v/>
      </c>
      <c r="G50" s="150" t="str">
        <f t="shared" si="7"/>
        <v/>
      </c>
      <c r="H50" s="165" t="str">
        <f t="shared" ref="H50:H56" si="48">IF(H25="","",(HLOOKUP($A$2,$C$1:$S$2,2,FALSE))*H25/(HLOOKUP(J$6,$C$1:$S$2,2,FALSE)))</f>
        <v/>
      </c>
      <c r="I50" s="150" t="str">
        <f t="shared" si="46"/>
        <v/>
      </c>
      <c r="J50" s="151" t="str">
        <f t="shared" si="47"/>
        <v/>
      </c>
      <c r="K50" s="165" t="str">
        <f t="shared" si="37"/>
        <v/>
      </c>
      <c r="L50" s="150" t="str">
        <f t="shared" si="38"/>
        <v/>
      </c>
      <c r="M50" s="151" t="str">
        <f t="shared" si="39"/>
        <v/>
      </c>
      <c r="N50" s="165"/>
      <c r="O50" s="150" t="str">
        <f t="shared" si="8"/>
        <v/>
      </c>
      <c r="P50" s="150" t="str">
        <f t="shared" si="9"/>
        <v/>
      </c>
      <c r="Q50" s="165" t="str">
        <f t="shared" si="10"/>
        <v/>
      </c>
      <c r="R50" s="132" t="str">
        <f t="shared" si="11"/>
        <v/>
      </c>
      <c r="S50" s="162" t="str">
        <f t="shared" si="12"/>
        <v/>
      </c>
      <c r="T50" s="165" t="str">
        <f t="shared" si="40"/>
        <v/>
      </c>
      <c r="U50" s="132" t="str">
        <f t="shared" si="41"/>
        <v/>
      </c>
      <c r="V50" s="162" t="str">
        <f t="shared" si="42"/>
        <v/>
      </c>
      <c r="W50" s="165" t="str">
        <f t="shared" si="2"/>
        <v/>
      </c>
      <c r="X50" s="150" t="str">
        <f t="shared" si="3"/>
        <v/>
      </c>
      <c r="Y50" s="151" t="str">
        <f t="shared" si="4"/>
        <v/>
      </c>
      <c r="Z50" s="165" t="str">
        <f t="shared" si="25"/>
        <v/>
      </c>
      <c r="AA50" s="150" t="str">
        <f t="shared" si="26"/>
        <v/>
      </c>
      <c r="AB50" s="151" t="str">
        <f t="shared" si="27"/>
        <v/>
      </c>
      <c r="AC50" s="165" t="str">
        <f t="shared" si="28"/>
        <v/>
      </c>
      <c r="AD50" s="150" t="str">
        <f t="shared" si="29"/>
        <v/>
      </c>
      <c r="AE50" s="151" t="str">
        <f t="shared" si="30"/>
        <v/>
      </c>
      <c r="AF50" s="165" t="str">
        <f t="shared" si="31"/>
        <v/>
      </c>
      <c r="AG50" s="132" t="str">
        <f t="shared" si="32"/>
        <v/>
      </c>
      <c r="AH50" s="162" t="str">
        <f t="shared" si="33"/>
        <v/>
      </c>
      <c r="AI50" s="165" t="str">
        <f t="shared" si="34"/>
        <v/>
      </c>
      <c r="AJ50" s="132" t="str">
        <f t="shared" si="35"/>
        <v/>
      </c>
      <c r="AK50" s="162" t="str">
        <f t="shared" si="36"/>
        <v/>
      </c>
      <c r="AL50" s="165" t="str">
        <f t="shared" si="43"/>
        <v/>
      </c>
      <c r="AM50" s="132" t="str">
        <f t="shared" si="44"/>
        <v/>
      </c>
      <c r="AN50" s="162" t="str">
        <f t="shared" si="45"/>
        <v/>
      </c>
      <c r="AO50" s="165" t="str">
        <f t="shared" si="13"/>
        <v/>
      </c>
      <c r="AP50" s="132" t="str">
        <f t="shared" si="14"/>
        <v/>
      </c>
      <c r="AQ50" s="162" t="str">
        <f t="shared" si="15"/>
        <v/>
      </c>
      <c r="AR50" s="165" t="str">
        <f t="shared" si="16"/>
        <v/>
      </c>
      <c r="AS50" s="132" t="str">
        <f t="shared" si="17"/>
        <v/>
      </c>
      <c r="AT50" s="162" t="str">
        <f t="shared" si="18"/>
        <v/>
      </c>
      <c r="AU50" s="165" t="str">
        <f t="shared" si="19"/>
        <v/>
      </c>
      <c r="AV50" s="132" t="str">
        <f t="shared" si="20"/>
        <v/>
      </c>
      <c r="AW50" s="162" t="str">
        <f t="shared" si="21"/>
        <v/>
      </c>
      <c r="AX50" s="165" t="str">
        <f t="shared" si="22"/>
        <v/>
      </c>
      <c r="AY50" s="132" t="str">
        <f t="shared" si="23"/>
        <v/>
      </c>
      <c r="AZ50" s="162" t="str">
        <f t="shared" si="24"/>
        <v/>
      </c>
      <c r="BA50" s="132">
        <v>18</v>
      </c>
    </row>
    <row r="51" spans="1:53" x14ac:dyDescent="0.25">
      <c r="B51" s="149" t="str">
        <f>IF(B26="","",IF($A$2="°F",Patrones!B26*1.8+32,Patrones!B26))</f>
        <v/>
      </c>
      <c r="C51" s="132" t="str">
        <f t="shared" ref="C51:C56" si="49">IF(C26="","",(HLOOKUP($A$2,$C$1:$S$2,2,FALSE))*C26/(HLOOKUP(D$6,$C$1:$S$2,2,FALSE)))</f>
        <v/>
      </c>
      <c r="D51" s="151" t="str">
        <f t="shared" ref="D51:D56" si="50">IF(D26="","",(HLOOKUP($A$2,$C$1:$S$2,2,FALSE))*D26/(HLOOKUP(D$6,$C$1:$S$2,2,FALSE)))</f>
        <v/>
      </c>
      <c r="E51" s="149" t="str">
        <f t="shared" si="5"/>
        <v/>
      </c>
      <c r="F51" s="132" t="str">
        <f t="shared" si="6"/>
        <v/>
      </c>
      <c r="G51" s="150" t="str">
        <f t="shared" si="7"/>
        <v/>
      </c>
      <c r="H51" s="165" t="str">
        <f t="shared" si="48"/>
        <v/>
      </c>
      <c r="I51" s="150" t="str">
        <f t="shared" si="46"/>
        <v/>
      </c>
      <c r="J51" s="151" t="str">
        <f t="shared" si="47"/>
        <v/>
      </c>
      <c r="K51" s="165" t="str">
        <f t="shared" si="37"/>
        <v/>
      </c>
      <c r="L51" s="150" t="str">
        <f t="shared" si="38"/>
        <v/>
      </c>
      <c r="M51" s="151" t="str">
        <f t="shared" si="39"/>
        <v/>
      </c>
      <c r="N51" s="165"/>
      <c r="O51" s="150" t="str">
        <f t="shared" si="8"/>
        <v/>
      </c>
      <c r="P51" s="150" t="str">
        <f t="shared" si="9"/>
        <v/>
      </c>
      <c r="Q51" s="165" t="str">
        <f t="shared" si="10"/>
        <v/>
      </c>
      <c r="R51" s="132" t="str">
        <f t="shared" si="11"/>
        <v/>
      </c>
      <c r="S51" s="162" t="str">
        <f t="shared" si="12"/>
        <v/>
      </c>
      <c r="T51" s="165" t="str">
        <f t="shared" si="40"/>
        <v/>
      </c>
      <c r="U51" s="132" t="str">
        <f t="shared" si="41"/>
        <v/>
      </c>
      <c r="V51" s="162" t="str">
        <f t="shared" si="42"/>
        <v/>
      </c>
      <c r="W51" s="165" t="str">
        <f t="shared" si="2"/>
        <v/>
      </c>
      <c r="X51" s="150" t="str">
        <f t="shared" si="3"/>
        <v/>
      </c>
      <c r="Y51" s="151" t="str">
        <f t="shared" si="4"/>
        <v/>
      </c>
      <c r="Z51" s="165" t="str">
        <f t="shared" si="25"/>
        <v/>
      </c>
      <c r="AA51" s="150" t="str">
        <f t="shared" si="26"/>
        <v/>
      </c>
      <c r="AB51" s="151" t="str">
        <f t="shared" si="27"/>
        <v/>
      </c>
      <c r="AC51" s="165" t="str">
        <f t="shared" si="28"/>
        <v/>
      </c>
      <c r="AD51" s="150" t="str">
        <f t="shared" si="29"/>
        <v/>
      </c>
      <c r="AE51" s="151" t="str">
        <f t="shared" si="30"/>
        <v/>
      </c>
      <c r="AF51" s="165" t="str">
        <f t="shared" si="31"/>
        <v/>
      </c>
      <c r="AG51" s="132" t="str">
        <f t="shared" si="32"/>
        <v/>
      </c>
      <c r="AH51" s="162" t="str">
        <f t="shared" si="33"/>
        <v/>
      </c>
      <c r="AI51" s="165" t="str">
        <f t="shared" si="34"/>
        <v/>
      </c>
      <c r="AJ51" s="132" t="str">
        <f t="shared" si="35"/>
        <v/>
      </c>
      <c r="AK51" s="162" t="str">
        <f t="shared" si="36"/>
        <v/>
      </c>
      <c r="AL51" s="165" t="str">
        <f t="shared" si="43"/>
        <v/>
      </c>
      <c r="AM51" s="132" t="str">
        <f t="shared" si="44"/>
        <v/>
      </c>
      <c r="AN51" s="162" t="str">
        <f t="shared" si="45"/>
        <v/>
      </c>
      <c r="AO51" s="165" t="str">
        <f t="shared" si="13"/>
        <v/>
      </c>
      <c r="AP51" s="132" t="str">
        <f t="shared" si="14"/>
        <v/>
      </c>
      <c r="AQ51" s="162" t="str">
        <f t="shared" si="15"/>
        <v/>
      </c>
      <c r="AR51" s="165" t="str">
        <f t="shared" si="16"/>
        <v/>
      </c>
      <c r="AS51" s="132" t="str">
        <f t="shared" si="17"/>
        <v/>
      </c>
      <c r="AT51" s="162" t="str">
        <f t="shared" si="18"/>
        <v/>
      </c>
      <c r="AU51" s="165" t="str">
        <f t="shared" si="19"/>
        <v/>
      </c>
      <c r="AV51" s="132" t="str">
        <f t="shared" si="20"/>
        <v/>
      </c>
      <c r="AW51" s="162" t="str">
        <f t="shared" si="21"/>
        <v/>
      </c>
      <c r="AX51" s="165" t="str">
        <f t="shared" si="22"/>
        <v/>
      </c>
      <c r="AY51" s="132" t="str">
        <f t="shared" si="23"/>
        <v/>
      </c>
      <c r="AZ51" s="162" t="str">
        <f t="shared" si="24"/>
        <v/>
      </c>
      <c r="BA51" s="132">
        <v>19</v>
      </c>
    </row>
    <row r="52" spans="1:53" x14ac:dyDescent="0.25">
      <c r="B52" s="149" t="str">
        <f>IF(B27="","",IF($A$2="°F",Patrones!B27*1.8+32,Patrones!B27))</f>
        <v/>
      </c>
      <c r="C52" s="132" t="str">
        <f t="shared" si="49"/>
        <v/>
      </c>
      <c r="D52" s="151" t="str">
        <f t="shared" si="50"/>
        <v/>
      </c>
      <c r="E52" s="149" t="str">
        <f t="shared" si="5"/>
        <v/>
      </c>
      <c r="F52" s="132" t="str">
        <f t="shared" si="6"/>
        <v/>
      </c>
      <c r="G52" s="150" t="str">
        <f t="shared" si="7"/>
        <v/>
      </c>
      <c r="H52" s="165" t="str">
        <f t="shared" si="48"/>
        <v/>
      </c>
      <c r="I52" s="150" t="str">
        <f t="shared" si="46"/>
        <v/>
      </c>
      <c r="J52" s="151" t="str">
        <f t="shared" si="47"/>
        <v/>
      </c>
      <c r="K52" s="165" t="str">
        <f t="shared" si="37"/>
        <v/>
      </c>
      <c r="L52" s="150" t="str">
        <f t="shared" si="38"/>
        <v/>
      </c>
      <c r="M52" s="151" t="str">
        <f t="shared" si="39"/>
        <v/>
      </c>
      <c r="N52" s="165"/>
      <c r="O52" s="150" t="str">
        <f t="shared" si="8"/>
        <v/>
      </c>
      <c r="P52" s="150" t="str">
        <f t="shared" si="9"/>
        <v/>
      </c>
      <c r="Q52" s="165" t="str">
        <f t="shared" si="10"/>
        <v/>
      </c>
      <c r="R52" s="132" t="str">
        <f t="shared" si="11"/>
        <v/>
      </c>
      <c r="S52" s="162" t="str">
        <f t="shared" si="12"/>
        <v/>
      </c>
      <c r="T52" s="165" t="str">
        <f t="shared" si="40"/>
        <v/>
      </c>
      <c r="U52" s="132" t="str">
        <f t="shared" si="41"/>
        <v/>
      </c>
      <c r="V52" s="162" t="str">
        <f t="shared" si="42"/>
        <v/>
      </c>
      <c r="W52" s="165" t="str">
        <f t="shared" si="2"/>
        <v/>
      </c>
      <c r="X52" s="150" t="str">
        <f t="shared" si="3"/>
        <v/>
      </c>
      <c r="Y52" s="151" t="str">
        <f t="shared" si="4"/>
        <v/>
      </c>
      <c r="Z52" s="165" t="str">
        <f t="shared" si="25"/>
        <v/>
      </c>
      <c r="AA52" s="150" t="str">
        <f t="shared" si="26"/>
        <v/>
      </c>
      <c r="AB52" s="151" t="str">
        <f t="shared" si="27"/>
        <v/>
      </c>
      <c r="AC52" s="165" t="str">
        <f t="shared" si="28"/>
        <v/>
      </c>
      <c r="AD52" s="150" t="str">
        <f t="shared" si="29"/>
        <v/>
      </c>
      <c r="AE52" s="151" t="str">
        <f t="shared" si="30"/>
        <v/>
      </c>
      <c r="AF52" s="165" t="str">
        <f t="shared" si="31"/>
        <v/>
      </c>
      <c r="AG52" s="132" t="str">
        <f t="shared" si="32"/>
        <v/>
      </c>
      <c r="AH52" s="162" t="str">
        <f t="shared" si="33"/>
        <v/>
      </c>
      <c r="AI52" s="165" t="str">
        <f t="shared" si="34"/>
        <v/>
      </c>
      <c r="AJ52" s="132" t="str">
        <f t="shared" si="35"/>
        <v/>
      </c>
      <c r="AK52" s="162" t="str">
        <f t="shared" si="36"/>
        <v/>
      </c>
      <c r="AL52" s="165" t="str">
        <f t="shared" si="43"/>
        <v/>
      </c>
      <c r="AM52" s="132" t="str">
        <f t="shared" si="44"/>
        <v/>
      </c>
      <c r="AN52" s="162" t="str">
        <f t="shared" si="45"/>
        <v/>
      </c>
      <c r="AO52" s="165" t="str">
        <f t="shared" si="13"/>
        <v/>
      </c>
      <c r="AP52" s="132" t="str">
        <f t="shared" si="14"/>
        <v/>
      </c>
      <c r="AQ52" s="162" t="str">
        <f t="shared" si="15"/>
        <v/>
      </c>
      <c r="AR52" s="165" t="str">
        <f t="shared" si="16"/>
        <v/>
      </c>
      <c r="AS52" s="132" t="str">
        <f t="shared" si="17"/>
        <v/>
      </c>
      <c r="AT52" s="162" t="str">
        <f t="shared" si="18"/>
        <v/>
      </c>
      <c r="AU52" s="165" t="str">
        <f t="shared" si="19"/>
        <v/>
      </c>
      <c r="AV52" s="132" t="str">
        <f t="shared" si="20"/>
        <v/>
      </c>
      <c r="AW52" s="162" t="str">
        <f t="shared" si="21"/>
        <v/>
      </c>
      <c r="AX52" s="165" t="str">
        <f t="shared" si="22"/>
        <v/>
      </c>
      <c r="AY52" s="132" t="str">
        <f t="shared" si="23"/>
        <v/>
      </c>
      <c r="AZ52" s="162" t="str">
        <f t="shared" si="24"/>
        <v/>
      </c>
      <c r="BA52" s="132">
        <v>20</v>
      </c>
    </row>
    <row r="53" spans="1:53" x14ac:dyDescent="0.25">
      <c r="B53" s="149" t="str">
        <f>IF(B28="","",IF($A$2="°F",Patrones!B28*1.8+32,Patrones!B28))</f>
        <v/>
      </c>
      <c r="C53" s="132" t="str">
        <f t="shared" si="49"/>
        <v/>
      </c>
      <c r="D53" s="151" t="str">
        <f t="shared" si="50"/>
        <v/>
      </c>
      <c r="E53" s="149" t="str">
        <f t="shared" si="5"/>
        <v/>
      </c>
      <c r="F53" s="132" t="str">
        <f t="shared" si="6"/>
        <v/>
      </c>
      <c r="G53" s="150" t="str">
        <f t="shared" si="7"/>
        <v/>
      </c>
      <c r="H53" s="165" t="str">
        <f t="shared" si="48"/>
        <v/>
      </c>
      <c r="I53" s="150" t="str">
        <f t="shared" si="46"/>
        <v/>
      </c>
      <c r="J53" s="151" t="str">
        <f t="shared" si="47"/>
        <v/>
      </c>
      <c r="K53" s="165" t="str">
        <f t="shared" si="37"/>
        <v/>
      </c>
      <c r="L53" s="150" t="str">
        <f t="shared" si="38"/>
        <v/>
      </c>
      <c r="M53" s="151" t="str">
        <f t="shared" si="39"/>
        <v/>
      </c>
      <c r="N53" s="165"/>
      <c r="O53" s="150" t="str">
        <f t="shared" si="8"/>
        <v/>
      </c>
      <c r="P53" s="150" t="str">
        <f t="shared" si="9"/>
        <v/>
      </c>
      <c r="Q53" s="165" t="str">
        <f t="shared" si="10"/>
        <v/>
      </c>
      <c r="R53" s="132" t="str">
        <f t="shared" si="11"/>
        <v/>
      </c>
      <c r="S53" s="162" t="str">
        <f t="shared" si="12"/>
        <v/>
      </c>
      <c r="T53" s="165" t="str">
        <f t="shared" si="40"/>
        <v/>
      </c>
      <c r="U53" s="132" t="str">
        <f t="shared" si="41"/>
        <v/>
      </c>
      <c r="V53" s="162" t="str">
        <f t="shared" si="42"/>
        <v/>
      </c>
      <c r="W53" s="165" t="str">
        <f t="shared" si="2"/>
        <v/>
      </c>
      <c r="X53" s="150" t="str">
        <f t="shared" si="3"/>
        <v/>
      </c>
      <c r="Y53" s="151" t="str">
        <f t="shared" si="4"/>
        <v/>
      </c>
      <c r="Z53" s="165" t="str">
        <f t="shared" si="25"/>
        <v/>
      </c>
      <c r="AA53" s="150" t="str">
        <f t="shared" si="26"/>
        <v/>
      </c>
      <c r="AB53" s="151" t="str">
        <f t="shared" si="27"/>
        <v/>
      </c>
      <c r="AC53" s="165" t="str">
        <f t="shared" si="28"/>
        <v/>
      </c>
      <c r="AD53" s="150" t="str">
        <f t="shared" si="29"/>
        <v/>
      </c>
      <c r="AE53" s="151" t="str">
        <f t="shared" si="30"/>
        <v/>
      </c>
      <c r="AF53" s="165" t="str">
        <f t="shared" si="31"/>
        <v/>
      </c>
      <c r="AG53" s="132" t="str">
        <f t="shared" si="32"/>
        <v/>
      </c>
      <c r="AH53" s="162" t="str">
        <f t="shared" si="33"/>
        <v/>
      </c>
      <c r="AI53" s="165" t="str">
        <f t="shared" si="34"/>
        <v/>
      </c>
      <c r="AJ53" s="132" t="str">
        <f t="shared" si="35"/>
        <v/>
      </c>
      <c r="AK53" s="162" t="str">
        <f t="shared" si="36"/>
        <v/>
      </c>
      <c r="AL53" s="165" t="str">
        <f t="shared" si="43"/>
        <v/>
      </c>
      <c r="AM53" s="132" t="str">
        <f t="shared" si="44"/>
        <v/>
      </c>
      <c r="AN53" s="162" t="str">
        <f t="shared" si="45"/>
        <v/>
      </c>
      <c r="AO53" s="165" t="str">
        <f t="shared" si="13"/>
        <v/>
      </c>
      <c r="AP53" s="132" t="str">
        <f t="shared" si="14"/>
        <v/>
      </c>
      <c r="AQ53" s="162" t="str">
        <f t="shared" si="15"/>
        <v/>
      </c>
      <c r="AR53" s="165" t="str">
        <f t="shared" si="16"/>
        <v/>
      </c>
      <c r="AS53" s="132" t="str">
        <f t="shared" si="17"/>
        <v/>
      </c>
      <c r="AT53" s="162" t="str">
        <f t="shared" si="18"/>
        <v/>
      </c>
      <c r="AU53" s="165" t="str">
        <f t="shared" si="19"/>
        <v/>
      </c>
      <c r="AV53" s="132" t="str">
        <f t="shared" si="20"/>
        <v/>
      </c>
      <c r="AW53" s="162" t="str">
        <f t="shared" si="21"/>
        <v/>
      </c>
      <c r="AX53" s="165" t="str">
        <f t="shared" si="22"/>
        <v/>
      </c>
      <c r="AY53" s="132" t="str">
        <f t="shared" si="23"/>
        <v/>
      </c>
      <c r="AZ53" s="162" t="str">
        <f t="shared" si="24"/>
        <v/>
      </c>
      <c r="BA53" s="132">
        <v>21</v>
      </c>
    </row>
    <row r="54" spans="1:53" x14ac:dyDescent="0.25">
      <c r="B54" s="149" t="str">
        <f t="shared" ref="B54:B56" si="51">IF(B29="","",(HLOOKUP($A$2,$C$1:$S$2,2,FALSE))*B29/(HLOOKUP(D$6,$C$1:$S$2,2,FALSE)))</f>
        <v/>
      </c>
      <c r="C54" s="132" t="str">
        <f t="shared" si="49"/>
        <v/>
      </c>
      <c r="D54" s="151" t="str">
        <f t="shared" si="50"/>
        <v/>
      </c>
      <c r="E54" s="149" t="str">
        <f t="shared" si="5"/>
        <v/>
      </c>
      <c r="F54" s="132" t="str">
        <f t="shared" si="6"/>
        <v/>
      </c>
      <c r="G54" s="150" t="str">
        <f t="shared" si="7"/>
        <v/>
      </c>
      <c r="H54" s="165" t="str">
        <f t="shared" si="48"/>
        <v/>
      </c>
      <c r="I54" s="150" t="str">
        <f t="shared" si="46"/>
        <v/>
      </c>
      <c r="J54" s="151" t="str">
        <f t="shared" si="47"/>
        <v/>
      </c>
      <c r="K54" s="165" t="str">
        <f t="shared" si="37"/>
        <v/>
      </c>
      <c r="L54" s="150" t="str">
        <f t="shared" si="38"/>
        <v/>
      </c>
      <c r="M54" s="151" t="str">
        <f t="shared" si="39"/>
        <v/>
      </c>
      <c r="N54" s="165"/>
      <c r="O54" s="150" t="str">
        <f t="shared" si="8"/>
        <v/>
      </c>
      <c r="P54" s="150" t="str">
        <f t="shared" si="9"/>
        <v/>
      </c>
      <c r="Q54" s="165" t="str">
        <f t="shared" si="10"/>
        <v/>
      </c>
      <c r="R54" s="132" t="str">
        <f t="shared" si="11"/>
        <v/>
      </c>
      <c r="S54" s="162" t="str">
        <f t="shared" si="12"/>
        <v/>
      </c>
      <c r="T54" s="165" t="str">
        <f t="shared" si="40"/>
        <v/>
      </c>
      <c r="U54" s="132" t="str">
        <f t="shared" si="41"/>
        <v/>
      </c>
      <c r="V54" s="162" t="str">
        <f t="shared" si="42"/>
        <v/>
      </c>
      <c r="W54" s="165" t="str">
        <f t="shared" si="2"/>
        <v/>
      </c>
      <c r="X54" s="150" t="str">
        <f t="shared" si="3"/>
        <v/>
      </c>
      <c r="Y54" s="151" t="str">
        <f t="shared" si="4"/>
        <v/>
      </c>
      <c r="Z54" s="165" t="str">
        <f t="shared" si="25"/>
        <v/>
      </c>
      <c r="AA54" s="150" t="str">
        <f t="shared" si="26"/>
        <v/>
      </c>
      <c r="AB54" s="151" t="str">
        <f t="shared" si="27"/>
        <v/>
      </c>
      <c r="AC54" s="165" t="str">
        <f t="shared" si="28"/>
        <v/>
      </c>
      <c r="AD54" s="150" t="str">
        <f t="shared" si="29"/>
        <v/>
      </c>
      <c r="AE54" s="151" t="str">
        <f t="shared" si="30"/>
        <v/>
      </c>
      <c r="AF54" s="165" t="str">
        <f t="shared" si="31"/>
        <v/>
      </c>
      <c r="AG54" s="132" t="str">
        <f t="shared" si="32"/>
        <v/>
      </c>
      <c r="AH54" s="162" t="str">
        <f t="shared" si="33"/>
        <v/>
      </c>
      <c r="AI54" s="165" t="str">
        <f t="shared" si="34"/>
        <v/>
      </c>
      <c r="AJ54" s="132" t="str">
        <f t="shared" si="35"/>
        <v/>
      </c>
      <c r="AK54" s="162" t="str">
        <f t="shared" si="36"/>
        <v/>
      </c>
      <c r="AL54" s="165" t="str">
        <f t="shared" si="43"/>
        <v/>
      </c>
      <c r="AM54" s="132" t="str">
        <f t="shared" si="44"/>
        <v/>
      </c>
      <c r="AN54" s="162" t="str">
        <f t="shared" si="45"/>
        <v/>
      </c>
      <c r="AO54" s="165" t="str">
        <f t="shared" si="13"/>
        <v/>
      </c>
      <c r="AP54" s="132" t="str">
        <f t="shared" si="14"/>
        <v/>
      </c>
      <c r="AQ54" s="162" t="str">
        <f t="shared" si="15"/>
        <v/>
      </c>
      <c r="AR54" s="165" t="str">
        <f t="shared" si="16"/>
        <v/>
      </c>
      <c r="AS54" s="132" t="str">
        <f t="shared" si="17"/>
        <v/>
      </c>
      <c r="AT54" s="162" t="str">
        <f t="shared" si="18"/>
        <v/>
      </c>
      <c r="AU54" s="165" t="str">
        <f t="shared" si="19"/>
        <v/>
      </c>
      <c r="AV54" s="132" t="str">
        <f t="shared" si="20"/>
        <v/>
      </c>
      <c r="AW54" s="162" t="str">
        <f t="shared" si="21"/>
        <v/>
      </c>
      <c r="AX54" s="165" t="str">
        <f t="shared" si="22"/>
        <v/>
      </c>
      <c r="AY54" s="132" t="str">
        <f t="shared" si="23"/>
        <v/>
      </c>
      <c r="AZ54" s="162" t="str">
        <f t="shared" si="24"/>
        <v/>
      </c>
      <c r="BA54" s="132">
        <v>22</v>
      </c>
    </row>
    <row r="55" spans="1:53" x14ac:dyDescent="0.25">
      <c r="B55" s="149" t="str">
        <f t="shared" si="51"/>
        <v/>
      </c>
      <c r="C55" s="132" t="str">
        <f t="shared" si="49"/>
        <v/>
      </c>
      <c r="D55" s="151" t="str">
        <f t="shared" si="50"/>
        <v/>
      </c>
      <c r="E55" s="149" t="str">
        <f t="shared" si="5"/>
        <v/>
      </c>
      <c r="F55" s="132" t="str">
        <f t="shared" si="6"/>
        <v/>
      </c>
      <c r="G55" s="150" t="str">
        <f t="shared" si="7"/>
        <v/>
      </c>
      <c r="H55" s="165" t="str">
        <f t="shared" si="48"/>
        <v/>
      </c>
      <c r="I55" s="150" t="str">
        <f t="shared" si="46"/>
        <v/>
      </c>
      <c r="J55" s="151" t="str">
        <f t="shared" si="47"/>
        <v/>
      </c>
      <c r="K55" s="165" t="str">
        <f t="shared" si="37"/>
        <v/>
      </c>
      <c r="L55" s="150" t="str">
        <f t="shared" si="38"/>
        <v/>
      </c>
      <c r="M55" s="151" t="str">
        <f t="shared" si="39"/>
        <v/>
      </c>
      <c r="N55" s="165"/>
      <c r="O55" s="150" t="str">
        <f t="shared" si="8"/>
        <v/>
      </c>
      <c r="P55" s="150" t="str">
        <f t="shared" si="9"/>
        <v/>
      </c>
      <c r="Q55" s="165" t="str">
        <f t="shared" si="10"/>
        <v/>
      </c>
      <c r="R55" s="132" t="str">
        <f t="shared" si="11"/>
        <v/>
      </c>
      <c r="S55" s="162" t="str">
        <f t="shared" si="12"/>
        <v/>
      </c>
      <c r="T55" s="165" t="str">
        <f t="shared" si="40"/>
        <v/>
      </c>
      <c r="U55" s="132" t="str">
        <f t="shared" si="41"/>
        <v/>
      </c>
      <c r="V55" s="162" t="str">
        <f t="shared" si="42"/>
        <v/>
      </c>
      <c r="W55" s="165" t="str">
        <f t="shared" si="2"/>
        <v/>
      </c>
      <c r="X55" s="150" t="str">
        <f t="shared" si="3"/>
        <v/>
      </c>
      <c r="Y55" s="151" t="str">
        <f t="shared" si="4"/>
        <v/>
      </c>
      <c r="Z55" s="165" t="str">
        <f t="shared" si="25"/>
        <v/>
      </c>
      <c r="AA55" s="150" t="str">
        <f t="shared" si="26"/>
        <v/>
      </c>
      <c r="AB55" s="151" t="str">
        <f t="shared" si="27"/>
        <v/>
      </c>
      <c r="AC55" s="165" t="str">
        <f t="shared" si="28"/>
        <v/>
      </c>
      <c r="AD55" s="150" t="str">
        <f t="shared" si="29"/>
        <v/>
      </c>
      <c r="AE55" s="151" t="str">
        <f t="shared" si="30"/>
        <v/>
      </c>
      <c r="AF55" s="165" t="str">
        <f t="shared" si="31"/>
        <v/>
      </c>
      <c r="AG55" s="132" t="str">
        <f t="shared" si="32"/>
        <v/>
      </c>
      <c r="AH55" s="162" t="str">
        <f t="shared" si="33"/>
        <v/>
      </c>
      <c r="AI55" s="165" t="str">
        <f t="shared" si="34"/>
        <v/>
      </c>
      <c r="AJ55" s="132" t="str">
        <f t="shared" si="35"/>
        <v/>
      </c>
      <c r="AK55" s="162" t="str">
        <f t="shared" si="36"/>
        <v/>
      </c>
      <c r="AL55" s="165" t="str">
        <f t="shared" si="43"/>
        <v/>
      </c>
      <c r="AM55" s="132" t="str">
        <f t="shared" si="44"/>
        <v/>
      </c>
      <c r="AN55" s="162" t="str">
        <f t="shared" si="45"/>
        <v/>
      </c>
      <c r="AO55" s="165" t="str">
        <f t="shared" si="13"/>
        <v/>
      </c>
      <c r="AP55" s="132" t="str">
        <f t="shared" si="14"/>
        <v/>
      </c>
      <c r="AQ55" s="162" t="str">
        <f t="shared" si="15"/>
        <v/>
      </c>
      <c r="AR55" s="165" t="str">
        <f t="shared" si="16"/>
        <v/>
      </c>
      <c r="AS55" s="132" t="str">
        <f t="shared" si="17"/>
        <v/>
      </c>
      <c r="AT55" s="162" t="str">
        <f t="shared" si="18"/>
        <v/>
      </c>
      <c r="AU55" s="165" t="str">
        <f t="shared" si="19"/>
        <v/>
      </c>
      <c r="AV55" s="132" t="str">
        <f t="shared" si="20"/>
        <v/>
      </c>
      <c r="AW55" s="162" t="str">
        <f t="shared" si="21"/>
        <v/>
      </c>
      <c r="AX55" s="165" t="str">
        <f t="shared" si="22"/>
        <v/>
      </c>
      <c r="AY55" s="132" t="str">
        <f t="shared" si="23"/>
        <v/>
      </c>
      <c r="AZ55" s="162" t="str">
        <f t="shared" si="24"/>
        <v/>
      </c>
      <c r="BA55" s="132">
        <v>23</v>
      </c>
    </row>
    <row r="56" spans="1:53" ht="12" thickBot="1" x14ac:dyDescent="0.3">
      <c r="B56" s="166" t="str">
        <f t="shared" si="51"/>
        <v/>
      </c>
      <c r="C56" s="167" t="str">
        <f t="shared" si="49"/>
        <v/>
      </c>
      <c r="D56" s="168" t="str">
        <f t="shared" si="50"/>
        <v/>
      </c>
      <c r="E56" s="166" t="str">
        <f t="shared" si="5"/>
        <v/>
      </c>
      <c r="F56" s="169" t="str">
        <f t="shared" si="6"/>
        <v/>
      </c>
      <c r="G56" s="169" t="str">
        <f t="shared" si="7"/>
        <v/>
      </c>
      <c r="H56" s="170" t="str">
        <f t="shared" si="48"/>
        <v/>
      </c>
      <c r="I56" s="169" t="str">
        <f t="shared" si="46"/>
        <v/>
      </c>
      <c r="J56" s="168" t="str">
        <f t="shared" si="47"/>
        <v/>
      </c>
      <c r="K56" s="170" t="str">
        <f t="shared" si="37"/>
        <v/>
      </c>
      <c r="L56" s="169" t="str">
        <f t="shared" si="38"/>
        <v/>
      </c>
      <c r="M56" s="168" t="str">
        <f t="shared" si="39"/>
        <v/>
      </c>
      <c r="N56" s="170"/>
      <c r="O56" s="169" t="str">
        <f t="shared" si="8"/>
        <v/>
      </c>
      <c r="P56" s="169" t="str">
        <f t="shared" si="9"/>
        <v/>
      </c>
      <c r="Q56" s="170" t="str">
        <f t="shared" si="10"/>
        <v/>
      </c>
      <c r="R56" s="167" t="str">
        <f t="shared" si="11"/>
        <v/>
      </c>
      <c r="S56" s="171" t="str">
        <f t="shared" si="12"/>
        <v/>
      </c>
      <c r="T56" s="170" t="str">
        <f t="shared" si="40"/>
        <v/>
      </c>
      <c r="U56" s="167" t="str">
        <f t="shared" si="41"/>
        <v/>
      </c>
      <c r="V56" s="171" t="str">
        <f t="shared" si="42"/>
        <v/>
      </c>
      <c r="W56" s="170" t="str">
        <f t="shared" si="2"/>
        <v/>
      </c>
      <c r="X56" s="169" t="str">
        <f t="shared" si="3"/>
        <v/>
      </c>
      <c r="Y56" s="168" t="str">
        <f t="shared" si="4"/>
        <v/>
      </c>
      <c r="Z56" s="170" t="str">
        <f t="shared" si="25"/>
        <v/>
      </c>
      <c r="AA56" s="169" t="str">
        <f t="shared" si="26"/>
        <v/>
      </c>
      <c r="AB56" s="168" t="str">
        <f t="shared" si="27"/>
        <v/>
      </c>
      <c r="AC56" s="170" t="str">
        <f t="shared" si="28"/>
        <v/>
      </c>
      <c r="AD56" s="169" t="str">
        <f t="shared" si="29"/>
        <v/>
      </c>
      <c r="AE56" s="168" t="str">
        <f t="shared" si="30"/>
        <v/>
      </c>
      <c r="AF56" s="170" t="str">
        <f t="shared" si="31"/>
        <v/>
      </c>
      <c r="AG56" s="167" t="str">
        <f t="shared" si="32"/>
        <v/>
      </c>
      <c r="AH56" s="171" t="str">
        <f t="shared" si="33"/>
        <v/>
      </c>
      <c r="AI56" s="170" t="str">
        <f t="shared" si="34"/>
        <v/>
      </c>
      <c r="AJ56" s="167" t="str">
        <f t="shared" si="35"/>
        <v/>
      </c>
      <c r="AK56" s="171" t="str">
        <f t="shared" si="36"/>
        <v/>
      </c>
      <c r="AL56" s="170" t="str">
        <f t="shared" si="43"/>
        <v/>
      </c>
      <c r="AM56" s="167" t="str">
        <f t="shared" si="44"/>
        <v/>
      </c>
      <c r="AN56" s="171" t="str">
        <f t="shared" si="45"/>
        <v/>
      </c>
      <c r="AO56" s="170" t="str">
        <f t="shared" si="13"/>
        <v/>
      </c>
      <c r="AP56" s="167" t="str">
        <f t="shared" si="14"/>
        <v/>
      </c>
      <c r="AQ56" s="171" t="str">
        <f t="shared" si="15"/>
        <v/>
      </c>
      <c r="AR56" s="170" t="str">
        <f t="shared" si="16"/>
        <v/>
      </c>
      <c r="AS56" s="167" t="str">
        <f t="shared" si="17"/>
        <v/>
      </c>
      <c r="AT56" s="171" t="str">
        <f t="shared" si="18"/>
        <v/>
      </c>
      <c r="AU56" s="170" t="str">
        <f t="shared" si="19"/>
        <v/>
      </c>
      <c r="AV56" s="167" t="str">
        <f t="shared" si="20"/>
        <v/>
      </c>
      <c r="AW56" s="171" t="str">
        <f t="shared" si="21"/>
        <v/>
      </c>
      <c r="AX56" s="170" t="str">
        <f t="shared" si="22"/>
        <v/>
      </c>
      <c r="AY56" s="167" t="str">
        <f t="shared" si="23"/>
        <v/>
      </c>
      <c r="AZ56" s="171" t="str">
        <f t="shared" si="24"/>
        <v/>
      </c>
      <c r="BA56" s="132">
        <v>24</v>
      </c>
    </row>
    <row r="57" spans="1:53" x14ac:dyDescent="0.25">
      <c r="A57" s="150"/>
      <c r="B57" s="132">
        <v>1</v>
      </c>
      <c r="C57" s="150"/>
      <c r="D57" s="150"/>
      <c r="E57" s="150">
        <v>2</v>
      </c>
      <c r="F57" s="150"/>
      <c r="G57" s="150"/>
      <c r="H57" s="132">
        <v>3</v>
      </c>
      <c r="I57" s="150"/>
      <c r="J57" s="150"/>
      <c r="K57" s="132">
        <v>4</v>
      </c>
      <c r="L57" s="150"/>
      <c r="M57" s="150"/>
      <c r="N57" s="132">
        <v>5</v>
      </c>
      <c r="O57" s="150"/>
      <c r="P57" s="150"/>
      <c r="Q57" s="132">
        <v>10</v>
      </c>
      <c r="T57" s="132">
        <v>11</v>
      </c>
      <c r="X57" s="150"/>
      <c r="Y57" s="150"/>
      <c r="Z57" s="132">
        <v>6</v>
      </c>
      <c r="AA57" s="150"/>
      <c r="AB57" s="150"/>
      <c r="AC57" s="132">
        <v>7</v>
      </c>
      <c r="AD57" s="150"/>
      <c r="AE57" s="150"/>
      <c r="AF57" s="132">
        <v>8</v>
      </c>
      <c r="AI57" s="132">
        <v>9</v>
      </c>
      <c r="AL57" s="132">
        <v>12</v>
      </c>
      <c r="AO57" s="132">
        <v>13</v>
      </c>
      <c r="AR57" s="132">
        <v>14</v>
      </c>
      <c r="AU57" s="132">
        <v>15</v>
      </c>
      <c r="AX57" s="132">
        <v>16</v>
      </c>
    </row>
    <row r="58" spans="1:53" x14ac:dyDescent="0.25">
      <c r="A58" s="147">
        <v>1</v>
      </c>
      <c r="B58" s="175" t="str">
        <f>IF('datos crudos'!$N$27="","",'datos crudos'!$N$27)</f>
        <v/>
      </c>
      <c r="C58" s="158">
        <f>IF(B58&lt;MIN(B$33:B$56),MIN(B$33:B$56),IF(B58&gt;MAX(B$33:B$56),MAX(B$33:B$56),INDEX(B$33:B$56,VLOOKUP(B58,B$33:$BA$56,COLUMNS(B$3:$BA$3),TRUE),1)))</f>
        <v>399.31700000000001</v>
      </c>
      <c r="D58" s="158">
        <f>IF(B58&lt;MIN(B$33:B$56),MIN(B$33:B$56),IF(B58&gt;MAX(B$33:B$56),MAX(B$33:B$56),INDEX(B$33:B$56,VLOOKUP(B58,B$33:$BA$56,COLUMNS(B$3:$BA$3),TRUE)+1,1)))</f>
        <v>399.31700000000001</v>
      </c>
      <c r="E58" s="175" t="str">
        <f>B58</f>
        <v/>
      </c>
      <c r="F58" s="158">
        <f>IF(E58&lt;MIN(E$33:E$56),MIN(E$33:E$56),IF(E58&gt;MAX(E$33:E$56),MAX(E$33:E$56),INDEX(E$33:E$56,VLOOKUP(E58,E$33:$BA$56,COLUMNS(E$3:$BA$3),TRUE),1)))</f>
        <v>270.39999999999998</v>
      </c>
      <c r="G58" s="158">
        <f>IF(E58&lt;MIN(E$33:E$56),MIN(E$33:E$56),IF(E58&gt;MAX(E$33:E$56),MAX(E$33:E$56),INDEX(E$33:E$56,VLOOKUP(E58,E$33:$BA$56,COLUMNS(E$3:$BA$3),TRUE)+1,1)))</f>
        <v>270.39999999999998</v>
      </c>
      <c r="H58" s="175" t="str">
        <f>B58</f>
        <v/>
      </c>
      <c r="I58" s="158">
        <f>IF(H58&lt;MIN(H$33:H$56),MIN(H$33:H$56),IF(H58&gt;MAX(H$33:H$56),MAX(H$33:H$56),INDEX(H$33:H$56,VLOOKUP(H58,H$33:$BA$56,COLUMNS(H$3:$BA$3),TRUE),1)))</f>
        <v>400</v>
      </c>
      <c r="J58" s="158">
        <f>IF(H58&lt;MIN(H$33:H$56),MIN(H$33:H$56),IF(H58&gt;MAX(H$33:H$56),MAX(H$33:H$56),INDEX(H$33:H$56,VLOOKUP(H58,H$33:$BA$56,COLUMNS(H$3:$BA$3),TRUE)+1,1)))</f>
        <v>400</v>
      </c>
      <c r="K58" s="175" t="str">
        <f>E58</f>
        <v/>
      </c>
      <c r="L58" s="158">
        <f>IF(K58&lt;MIN(K$33:K$56),MIN(K$33:K$56),IF(K58&gt;MAX(K$33:K$56),MAX(K$33:K$56),INDEX(K$33:K$56,VLOOKUP(K58,K$33:$BA$56,COLUMNS(K$3:$BA$3),TRUE),1)))</f>
        <v>139.19999999999999</v>
      </c>
      <c r="M58" s="158">
        <f>IF(K58&lt;MIN(K$33:K$56),MIN(K$33:K$56),IF(K58&gt;MAX(K$33:K$56),MAX(K$33:K$56),INDEX(K$33:K$56,VLOOKUP(K58,K$33:$BA$56,COLUMNS(K$3:$BA$3),TRUE)+1,1)))</f>
        <v>139.19999999999999</v>
      </c>
      <c r="N58" s="175" t="str">
        <f>B58</f>
        <v/>
      </c>
      <c r="O58" s="176">
        <f>IF(N58&lt;MIN(N$33:N$56),MIN(N$33:N$56),IF(N58&gt;MAX(N$33:N$56),MAX(N$33:N$56),INDEX(N$33:N$56,VLOOKUP(N58,N$33:$BA$56,COLUMNS(N$3:$BA$3),TRUE),1)))</f>
        <v>398.86700000000002</v>
      </c>
      <c r="P58" s="176">
        <f>IF(N58&lt;MIN(N$33:N$56),MIN(N$33:N$56),IF(N58&gt;MAX(N$33:N$56),MAX(N$33:N$56),INDEX(N$33:N$56,VLOOKUP(N58,N$33:$BA$56,COLUMNS(N$3:$BA$3),TRUE)+1,1)))</f>
        <v>398.86700000000002</v>
      </c>
      <c r="Q58" s="175" t="str">
        <f>E58</f>
        <v/>
      </c>
      <c r="R58" s="176">
        <f>IF(Q58&lt;MIN(Q$33:Q$56),MIN(Q$33:Q$56),IF(Q58&gt;MAX(Q$33:Q$56),MAX(Q$33:Q$56),INDEX(Q$33:Q$56,VLOOKUP(Q58,Q$33:$BA$56,COLUMNS(Q$3:$BA$3),TRUE),1)))</f>
        <v>399.16</v>
      </c>
      <c r="S58" s="176">
        <f>IF(Q58&lt;MIN(Q$33:Q$56),MIN(Q$33:Q$56),IF(Q58&gt;MAX(Q$33:Q$56),MAX(Q$33:Q$56),INDEX(Q$33:Q$56,VLOOKUP(Q58,Q$33:$BA$56,COLUMNS(Q$3:$BA$3),TRUE)+1,1)))</f>
        <v>399.16</v>
      </c>
      <c r="T58" s="175" t="str">
        <f>H58</f>
        <v/>
      </c>
      <c r="U58" s="176">
        <f>IF(T58&lt;MIN(T$33:T$56),MIN(T$33:T$56),IF(T58&gt;MAX(T$33:T$56),MAX(T$33:T$56),INDEX(T$33:T$56,VLOOKUP(T58,T$33:$BA$56,COLUMNS(T$3:$BA$3),TRUE),1)))</f>
        <v>100.1</v>
      </c>
      <c r="V58" s="176">
        <f>IF(T58&lt;MIN(T$33:T$56),MIN(T$33:T$56),IF(T58&gt;MAX(T$33:T$56),MAX(T$33:T$56),INDEX(T$33:T$56,VLOOKUP(T58,T$33:$BA$56,COLUMNS(T$3:$BA$3),TRUE)+1,1)))</f>
        <v>100.1</v>
      </c>
      <c r="W58" s="175" t="str">
        <f>B58</f>
        <v/>
      </c>
      <c r="X58" s="177" t="e">
        <f>IF(W58&lt;MIN(W$33:W$56),MIN(W$33:W$56),IF(W58&gt;MAX(W$33:W$56),MAX(W$33:W$56),INDEX(W$33:W$56,VLOOKUP(W58,W$33:$BA$56,COLUMNS(W$3:$BA$3),TRUE),1)))</f>
        <v>#N/A</v>
      </c>
      <c r="Y58" s="158" t="e">
        <f>IF(W58&lt;MIN(W$33:W$56),MIN(W$33:W$56),IF(W58&gt;MAX(W$33:W$56),MAX(W$33:W$56),INDEX(W$33:W$56,VLOOKUP(W58,W$33:$BA$56,COLUMNS(W$3:$BA$3),TRUE)+1,1)))</f>
        <v>#N/A</v>
      </c>
      <c r="Z58" s="175" t="str">
        <f>B58</f>
        <v/>
      </c>
      <c r="AA58" s="158">
        <f>IF(Z58&lt;MIN(Z$33:Z$56),MIN(Z$33:Z$56),IF(Z58&gt;MAX(Z$33:Z$56),MAX(Z$33:Z$56),INDEX(Z$33:Z$56,VLOOKUP(Z58,Z$33:$BA$56,COLUMNS(Z$3:$BA$3),TRUE),1)))</f>
        <v>139.87</v>
      </c>
      <c r="AB58" s="158">
        <f>IF(Z58&lt;MIN(Z$33:Z$56),MIN(Z$33:Z$56),IF(Z58&gt;MAX(Z$33:Z$56),MAX(Z$33:Z$56),INDEX(Z$33:Z$56,VLOOKUP(Z58,Z$33:$BA$56,COLUMNS(Z$3:$BA$3),TRUE)+1,1)))</f>
        <v>139.87</v>
      </c>
      <c r="AC58" s="175" t="str">
        <f>B58</f>
        <v/>
      </c>
      <c r="AD58" s="158">
        <f>IF(AC58&lt;MIN(AC$33:AC$56),MIN(AC$33:AC$56),IF(AC58&gt;MAX(AC$33:AC$56),MAX(AC$33:AC$56),INDEX(AC$33:AC$56,VLOOKUP(AC58,AC$33:$BA$56,COLUMNS(AC$3:$BA$3),TRUE),1)))</f>
        <v>139.87</v>
      </c>
      <c r="AE58" s="158">
        <f>IF(AC58&lt;MIN(AC$33:AC$56),MIN(AC$33:AC$56),IF(AC58&gt;MAX(AC$33:AC$56),MAX(AC$33:AC$56),INDEX(AC$33:AC$56,VLOOKUP(AC58,AC$33:$BA$56,COLUMNS(AC$3:$BA$3),TRUE)+1,1)))</f>
        <v>139.87</v>
      </c>
      <c r="AF58" s="175" t="str">
        <f>B58</f>
        <v/>
      </c>
      <c r="AG58" s="158">
        <f>IF(AF58&lt;MIN(AF$33:AF$56),MIN(AF$33:AF$56),IF(AF58&gt;MAX(AF$33:AF$56),MAX(AF$33:AF$56),INDEX(AF$33:AF$56,VLOOKUP(AF58,AF$33:$BA$56,COLUMNS(AF$3:$BA$3),TRUE),1)))</f>
        <v>139.87</v>
      </c>
      <c r="AH58" s="158">
        <f>IF(AF58&lt;MIN(AF$33:AF$56),MIN(AF$33:AF$56),IF(AF58&gt;MAX(AF$33:AF$56),MAX(AF$33:AF$56),INDEX(AF$33:AF$56,VLOOKUP(AF58,AF$33:$BA$56,COLUMNS(AF$3:$BA$3),TRUE)+1,1)))</f>
        <v>139.87</v>
      </c>
      <c r="AI58" s="175" t="str">
        <f>E58</f>
        <v/>
      </c>
      <c r="AJ58" s="158">
        <f>IF(AI58&lt;MIN(AI$33:AI$56),MIN(AI$33:AI$56),IF(AI58&gt;MAX(AI$33:AI$56),MAX(AI$33:AI$56),INDEX(AI$33:AI$56,VLOOKUP(AI58,AI$33:$BA$56,COLUMNS(AI$3:$BA$3),TRUE),1)))</f>
        <v>139.88</v>
      </c>
      <c r="AK58" s="158">
        <f>IF(AI58&lt;MIN(AI$33:AI$56),MIN(AI$33:AI$56),IF(AI58&gt;MAX(AI$33:AI$56),MAX(AI$33:AI$56),INDEX(AI$33:AI$56,VLOOKUP(AI58,AI$33:$BA$56,COLUMNS(AI$3:$BA$3),TRUE)+1,1)))</f>
        <v>139.88</v>
      </c>
      <c r="AL58" s="175" t="str">
        <f>H58</f>
        <v/>
      </c>
      <c r="AM58" s="158">
        <f>IF(AL58&lt;MIN(AL$33:AL$56),MIN(AL$33:AL$56),IF(AL58&gt;MAX(AL$33:AL$56),MAX(AL$33:AL$56),INDEX(AL$33:AL$56,VLOOKUP(AL58,AL$33:$BA$56,COLUMNS(AL$3:$BA$3),TRUE),1)))</f>
        <v>300.2</v>
      </c>
      <c r="AN58" s="158">
        <f>IF(AL58&lt;MIN(AL$33:AL$56),MIN(AL$33:AL$56),IF(AL58&gt;MAX(AL$33:AL$56),MAX(AL$33:AL$56),INDEX(AL$33:AL$56,VLOOKUP(AL58,AL$33:$BA$56,COLUMNS(AL$3:$BA$3),TRUE)+1,1)))</f>
        <v>300.2</v>
      </c>
      <c r="AO58" s="175" t="str">
        <f>K58</f>
        <v/>
      </c>
      <c r="AP58" s="158">
        <f>IF(AO58&lt;MIN(AO$33:AO$56),MIN(AO$33:AO$56),IF(AO58&gt;MAX(AO$33:AO$56),MAX(AO$33:AO$56),INDEX(AO$33:AO$56,VLOOKUP(AO58,AO$33:$BA$56,COLUMNS(AO$3:$BA$3),TRUE),1)))</f>
        <v>139.80000000000001</v>
      </c>
      <c r="AQ58" s="158">
        <f>IF(AO58&lt;MIN(AO$33:AO$56),MIN(AO$33:AO$56),IF(AO58&gt;MAX(AO$33:AO$56),MAX(AO$33:AO$56),INDEX(AO$33:AO$56,VLOOKUP(AO58,AO$33:$BA$56,COLUMNS(AO$3:$BA$3),TRUE)+1,1)))</f>
        <v>139.80000000000001</v>
      </c>
      <c r="AR58" s="175" t="str">
        <f>N58</f>
        <v/>
      </c>
      <c r="AS58" s="158">
        <f>IF(AR58&lt;MIN(AR$33:AR$56),MIN(AR$33:AR$56),IF(AR58&gt;MAX(AR$33:AR$56),MAX(AR$33:AR$56),INDEX(AR$33:AR$56,VLOOKUP(AR58,AR$33:$BA$56,COLUMNS(AR$3:$BA$3),TRUE),1)))</f>
        <v>139.9</v>
      </c>
      <c r="AT58" s="158">
        <f>IF(AR58&lt;MIN(AR$33:AR$56),MIN(AR$33:AR$56),IF(AR58&gt;MAX(AR$33:AR$56),MAX(AR$33:AR$56),INDEX(AR$33:AR$56,VLOOKUP(AR58,AR$33:$BA$56,COLUMNS(AR$3:$BA$3),TRUE)+1,1)))</f>
        <v>139.9</v>
      </c>
      <c r="AU58" s="175" t="str">
        <f>Q58</f>
        <v/>
      </c>
      <c r="AV58" s="158">
        <f>IF(AU58&lt;MIN(AU$33:AU$56),MIN(AU$33:AU$56),IF(AU58&gt;MAX(AU$33:AU$56),MAX(AU$33:AU$56),INDEX(AU$33:AU$56,VLOOKUP(AU58,AU$33:$BA$56,COLUMNS(AU$3:$BA$3),TRUE),1)))</f>
        <v>40.33</v>
      </c>
      <c r="AW58" s="158">
        <f>IF(AU58&lt;MIN(AU$33:AU$56),MIN(AU$33:AU$56),IF(AU58&gt;MAX(AU$33:AU$56),MAX(AU$33:AU$56),INDEX(AU$33:AU$56,VLOOKUP(AU58,AU$33:$BA$56,COLUMNS(AU$3:$BA$3),TRUE)+1,1)))</f>
        <v>40.33</v>
      </c>
      <c r="AX58" s="175" t="str">
        <f>Q58</f>
        <v/>
      </c>
      <c r="AY58" s="158">
        <f>IF(AX58&lt;MIN(AX$33:AX$56),MIN(AX$33:AX$56),IF(AX58&gt;MAX(AX$33:AX$56),MAX(AX$33:AX$56),INDEX(AX$33:AX$56,VLOOKUP(AX58,AX$33:$BA$56,COLUMNS(AX$3:$BA$3),TRUE),1)))</f>
        <v>36.67</v>
      </c>
      <c r="AZ58" s="158">
        <f>IF(AX58&lt;MIN(AX$33:AX$56),MIN(AX$33:AX$56),IF(AX58&gt;MAX(AX$33:AX$56),MAX(AX$33:AX$56),INDEX(AX$33:AX$56,VLOOKUP(AX58,AX$33:$BA$56,COLUMNS(AX$3:$BA$3),TRUE)+1,1)))</f>
        <v>36.67</v>
      </c>
    </row>
    <row r="59" spans="1:53" x14ac:dyDescent="0.25">
      <c r="A59" s="150" t="s">
        <v>29</v>
      </c>
      <c r="B59" s="178">
        <f>IF($C$88&lt;$D$88,$C$59,$D$59)</f>
        <v>0.54700000000000004</v>
      </c>
      <c r="C59" s="158">
        <f>IF(B58&lt;MIN(B$33:B$56),VLOOKUP(MIN(B$33:B$56),B$33:D$56,2,FALSE),IF(B58&gt;MAX(B$33:B$56),VLOOKUP(MAX(B$33:B$56),B$33:D$56,2,FALSE),VLOOKUP(C58,B$33:D$56,2,FALSE)))</f>
        <v>0.54700000000000004</v>
      </c>
      <c r="D59" s="158">
        <f>IF(B58&lt;MIN(B$33:B$56),VLOOKUP(MIN(B$33:B$56),B$33:D$56,2,FALSE),IF(B58&gt;MAX(B$33:B$56),VLOOKUP(MAX(B$33:B$56),B$33:D$56,2,FALSE),VLOOKUP(D58,B33:D56,2,FALSE)))</f>
        <v>0.54700000000000004</v>
      </c>
      <c r="E59" s="178">
        <f>IF($F$88&lt;$G$88,$F$59,$G$59)</f>
        <v>0.28799999999999998</v>
      </c>
      <c r="F59" s="158">
        <f>IF(E58&lt;MIN(E$33:E$56),VLOOKUP(MIN(E$33:E$56),E$33:G$56,2,FALSE),IF(E58&gt;MAX(E$33:E$56),VLOOKUP(MAX(E$33:E$56),E$33:G$56,2,FALSE),VLOOKUP(F58,E$33:G$56,2,FALSE)))</f>
        <v>0.28799999999999998</v>
      </c>
      <c r="G59" s="158">
        <f>IF(E58&lt;MIN(E$33:E$56),VLOOKUP(MIN(E$33:E$56),E$33:G$56,2,FALSE),IF(E58&gt;MAX(E$33:E$56),VLOOKUP(MAX(E$33:E$56),E$33:G$56,2,FALSE),VLOOKUP(G58,E33:G56,2,FALSE)))</f>
        <v>0.28799999999999998</v>
      </c>
      <c r="H59" s="178">
        <f>IF(I88&lt;J88,I59,J59)</f>
        <v>3.2000000000000001E-2</v>
      </c>
      <c r="I59" s="158">
        <f>IF(H58&lt;MIN(H$33:H$56),VLOOKUP(MIN(H$33:H$56),H$33:J$56,2,FALSE),IF(H58&gt;MAX(H$33:H$56),VLOOKUP(MAX(H$33:H$56),H$33:J$56,2,FALSE),VLOOKUP(I58,H$33:J$56,2,FALSE)))</f>
        <v>3.2000000000000001E-2</v>
      </c>
      <c r="J59" s="158">
        <f>IF(H58&lt;MIN(H$33:H$56),VLOOKUP(MIN(H$33:H$56),H$33:J$56,2,FALSE),IF(H58&gt;MAX(H$33:H$56),VLOOKUP(MAX(H$33:H$56),H$33:J$56,2,FALSE),VLOOKUP(J58,H33:J56,2,FALSE)))</f>
        <v>3.2000000000000001E-2</v>
      </c>
      <c r="K59" s="178">
        <f>IF(L88&lt;M88,L59,M59)</f>
        <v>-0.8</v>
      </c>
      <c r="L59" s="158">
        <f>IF(K58&lt;MIN(K$33:K$56),VLOOKUP(MIN(K$33:K$56),K$33:M$56,2,FALSE),IF(K58&gt;MAX(K$33:K$56),VLOOKUP(MAX(K$33:K$56),K$33:M$56,2,FALSE),VLOOKUP(L58,K$33:M$56,2,FALSE)))</f>
        <v>-0.8</v>
      </c>
      <c r="M59" s="158">
        <f>IF(K58&lt;MIN(K$33:K$56),VLOOKUP(MIN(K$33:K$56),K$33:M$56,2,FALSE),IF(K58&gt;MAX(K$33:K$56),VLOOKUP(MAX(K$33:K$56),K$33:M$56,2,FALSE),VLOOKUP(M58,K33:M56,2,FALSE)))</f>
        <v>-0.8</v>
      </c>
      <c r="N59" s="178">
        <f>IF($O$88&lt;$P$88,$O$59,$P$59)</f>
        <v>0.5363</v>
      </c>
      <c r="O59" s="176">
        <f>IF(N58&lt;MIN(N$33:N$56),VLOOKUP(MIN(N$33:N$56),N$33:P$56,2,FALSE),IF(N58&gt;MAX(N$33:N$56),VLOOKUP(MAX(N$33:N$56),N$33:P$56,2,FALSE),VLOOKUP(O58,N$33:P$56,2,FALSE)))</f>
        <v>0.5363</v>
      </c>
      <c r="P59" s="176">
        <f>IF(N58&lt;MIN(N$33:N$56),VLOOKUP(MIN(N$33:N$56),N$33:P$56,2,FALSE),IF(N58&gt;MAX(N$33:N$56),VLOOKUP(MAX(N$33:N$56),N$33:P$56,2,FALSE),VLOOKUP(P58,N33:P56,2,FALSE)))</f>
        <v>0.5363</v>
      </c>
      <c r="Q59" s="178">
        <f>IF($O$88&lt;$P$88,$O$59,$P$59)</f>
        <v>0.5363</v>
      </c>
      <c r="R59" s="176">
        <f>IF(Q58&lt;MIN(Q$33:Q$56),VLOOKUP(MIN(Q$33:Q$56),Q$33:S$56,2,FALSE),IF(Q58&gt;MAX(Q$33:Q$56),VLOOKUP(MAX(Q$33:Q$56),Q$33:S$56,2,FALSE),VLOOKUP(R58,Q$33:S$56,2,FALSE)))</f>
        <v>-1.0249999999999999</v>
      </c>
      <c r="S59" s="176">
        <f>IF(Q58&lt;MIN(Q$33:Q$56),VLOOKUP(MIN(Q$33:Q$56),Q$33:S$56,2,FALSE),IF(Q58&gt;MAX(Q$33:Q$56),VLOOKUP(MAX(Q$33:Q$56),Q$33:S$56,2,FALSE),VLOOKUP(S58,Q33:S56,2,FALSE)))</f>
        <v>-1.0249999999999999</v>
      </c>
      <c r="T59" s="178">
        <f>IF($O$88&lt;$P$88,$U$59,$V$59)</f>
        <v>0.19</v>
      </c>
      <c r="U59" s="176">
        <f>IF(T58&lt;MIN(T$33:T$56),VLOOKUP(MIN(T$33:T$56),T$33:V$56,2,FALSE),IF(T58&gt;MAX(T$33:T$56),VLOOKUP(MAX(T$33:T$56),T$33:V$56,2,FALSE),VLOOKUP(U58,T$33:V$56,2,FALSE)))</f>
        <v>0.19</v>
      </c>
      <c r="V59" s="176">
        <f>IF(T58&lt;MIN(T$33:T$56),VLOOKUP(MIN(T$33:T$56),T$33:V$56,2,FALSE),IF(T58&gt;MAX(T$33:T$56),VLOOKUP(MAX(T$33:T$56),T$33:V$56,2,FALSE),VLOOKUP(V58,T33:V56,2,FALSE)))</f>
        <v>0.19</v>
      </c>
      <c r="W59" s="178" t="e">
        <f>IF(W58&lt;=MIN(W$33:W$56),VLOOKUP(MIN(W$33:W$56),W$33:Y$56,2,FALSE),IF(W58&gt;=MAX(W$33:W$56),VLOOKUP(MAX(W$33:W$56),W$33:Y$56,2,FALSE),X59+((#REF!-X58)/(Y58-X58))*(Y59-X59)))</f>
        <v>#N/A</v>
      </c>
      <c r="X59" s="177" t="e">
        <f>IF(W58&lt;MIN(W$33:W$56),VLOOKUP(MIN(W$33:W$56),W$33:Y$56,2,FALSE),IF(W58&gt;MAX(W$33:W$56),VLOOKUP(MAX(W$33:W$56),W$33:Y$56,2,FALSE),VLOOKUP(X58,W$33:Y$56,2,FALSE)))</f>
        <v>#N/A</v>
      </c>
      <c r="Y59" s="158" t="e">
        <f>IF(W58&lt;MIN(W$33:W$56),VLOOKUP(MIN(W$33:W$56),W$33:Y$56,2,FALSE),IF(W58&gt;MAX(W$33:W$56),VLOOKUP(MAX(W$33:W$56),W$33:Y$56,2,FALSE),VLOOKUP(Y58,W33:Y56,2,FALSE)))</f>
        <v>#N/A</v>
      </c>
      <c r="Z59" s="178">
        <f>IF($AA$88&lt;$AB$88,AA59,AB59)</f>
        <v>0</v>
      </c>
      <c r="AA59" s="158">
        <f>IF(Z58&lt;MIN(Z$33:Z$56),VLOOKUP(MIN(Z$33:Z$56),Z$33:AB$56,2,FALSE),IF(Z58&gt;MAX(Z$33:Z$56),VLOOKUP(MAX(Z$33:Z$56),Z$33:AB$56,2,FALSE),VLOOKUP(AA58,Z$33:AB$56,2,FALSE)))</f>
        <v>0</v>
      </c>
      <c r="AB59" s="158">
        <f>IF(Z58&lt;MIN(Z$33:Z$56),VLOOKUP(MIN(Z$33:Z$56),Z$33:AB$56,2,FALSE),IF(Z58&gt;MAX(Z$33:Z$56),VLOOKUP(MAX(Z$33:Z$56),Z$33:AB$56,2,FALSE),VLOOKUP(AB58,Z33:AB56,2,FALSE)))</f>
        <v>0</v>
      </c>
      <c r="AC59" s="178">
        <f>IF($AD$88&lt;$AE$88,AD59,AE59)</f>
        <v>0</v>
      </c>
      <c r="AD59" s="158">
        <f>IF(AC58&lt;MIN(AC$33:AC$56),VLOOKUP(MIN(AC$33:AC$56),AC$33:AE$56,2,FALSE),IF(AC58&gt;MAX(AC$33:AC$56),VLOOKUP(MAX(AC$33:AC$56),AC$33:AE$56,2,FALSE),VLOOKUP(AD58,AC$33:AE$56,2,FALSE)))</f>
        <v>0</v>
      </c>
      <c r="AE59" s="158">
        <f>IF(AC58&lt;MIN(AC$33:AC$56),VLOOKUP(MIN(AC$33:AC$56),AC$33:AE$56,2,FALSE),IF(AC58&gt;MAX(AC$33:AC$56),VLOOKUP(MAX(AC$33:AC$56),AC$33:AE$56,2,FALSE),VLOOKUP(AE58,AC33:AE56,2,FALSE)))</f>
        <v>0</v>
      </c>
      <c r="AF59" s="178">
        <f>IF($AG$88&lt;$AH$88,AG59,AH59)</f>
        <v>0</v>
      </c>
      <c r="AG59" s="158">
        <f>IF(AF58&lt;MIN(AF$33:AF$56),VLOOKUP(MIN(AF$33:AF$56),AF$33:AH$56,2,FALSE),IF(AF58&gt;MAX(AF$33:AF$56),VLOOKUP(MAX(AF$33:AF$56),AF$33:AH$56,2,FALSE),VLOOKUP(AG58,AF$33:AH$56,2,FALSE)))</f>
        <v>0</v>
      </c>
      <c r="AH59" s="158">
        <f>IF(AF58&lt;MIN(AF$33:AF$56),VLOOKUP(MIN(AF$33:AF$56),AF$33:AH$56,2,FALSE),IF(AF58&gt;MAX(AF$33:AF$56),VLOOKUP(MAX(AF$33:AF$56),AF$33:AH$56,2,FALSE),VLOOKUP(AH58,AF33:AH56,2,FALSE)))</f>
        <v>0</v>
      </c>
      <c r="AI59" s="178">
        <f>IF($AG$88&lt;$AH$88,AJ59,AK59)</f>
        <v>0</v>
      </c>
      <c r="AJ59" s="158">
        <f>IF(AI58&lt;MIN(AI$33:AI$56),VLOOKUP(MIN(AI$33:AI$56),AI$33:AK$56,2,FALSE),IF(AI58&gt;MAX(AI$33:AI$56),VLOOKUP(MAX(AI$33:AI$56),AI$33:AK$56,2,FALSE),VLOOKUP(AJ58,AI$33:AK$56,2,FALSE)))</f>
        <v>0</v>
      </c>
      <c r="AK59" s="158">
        <f>IF(AI58&lt;MIN(AI$33:AI$56),VLOOKUP(MIN(AI$33:AI$56),AI$33:AK$56,2,FALSE),IF(AI58&gt;MAX(AI$33:AI$56),VLOOKUP(MAX(AI$33:AI$56),AI$33:AK$56,2,FALSE),VLOOKUP(AK58,AI33:AK56,2,FALSE)))</f>
        <v>0</v>
      </c>
      <c r="AL59" s="178">
        <f>IF($AG$88&lt;$AH$88,AM59,AN59)</f>
        <v>0.153</v>
      </c>
      <c r="AM59" s="158">
        <f>IF(AL58&lt;MIN(AL$33:AL$56),VLOOKUP(MIN(AL$33:AL$56),AL$33:AN$56,2,FALSE),IF(AL58&gt;MAX(AL$33:AL$56),VLOOKUP(MAX(AL$33:AL$56),AL$33:AN$56,2,FALSE),VLOOKUP(AM58,AL$33:AN$56,2,FALSE)))</f>
        <v>0.153</v>
      </c>
      <c r="AN59" s="158">
        <f>IF(AL58&lt;MIN(AL$33:AL$56),VLOOKUP(MIN(AL$33:AL$56),AL$33:AN$56,2,FALSE),IF(AL58&gt;MAX(AL$33:AL$56),VLOOKUP(MAX(AL$33:AL$56),AL$33:AN$56,2,FALSE),VLOOKUP(AN58,AL33:AN56,2,FALSE)))</f>
        <v>0.153</v>
      </c>
      <c r="AO59" s="178">
        <f>IF($AG$88&lt;$AH$88,AP59,AQ59)</f>
        <v>-0.2</v>
      </c>
      <c r="AP59" s="158">
        <f>IF(AO58&lt;MIN(AO$33:AO$56),VLOOKUP(MIN(AO$33:AO$56),AO$33:AQ$56,2,FALSE),IF(AO58&gt;MAX(AO$33:AO$56),VLOOKUP(MAX(AO$33:AO$56),AO$33:AQ$56,2,FALSE),VLOOKUP(AP58,AO$33:AQ$56,2,FALSE)))</f>
        <v>-0.2</v>
      </c>
      <c r="AQ59" s="158">
        <f>IF(AO58&lt;MIN(AO$33:AO$56),VLOOKUP(MIN(AO$33:AO$56),AO$33:AQ$56,2,FALSE),IF(AO58&gt;MAX(AO$33:AO$56),VLOOKUP(MAX(AO$33:AO$56),AO$33:AQ$56,2,FALSE),VLOOKUP(AQ58,AO33:AQ56,2,FALSE)))</f>
        <v>-0.2</v>
      </c>
      <c r="AR59" s="178">
        <f>IF($AG$88&lt;$AH$88,AS59,AT59)</f>
        <v>-0.1</v>
      </c>
      <c r="AS59" s="158">
        <f>IF(AR58&lt;MIN(AR$33:AR$56),VLOOKUP(MIN(AR$33:AR$56),AR$33:AT$56,2,FALSE),IF(AR58&gt;MAX(AR$33:AR$56),VLOOKUP(MAX(AR$33:AR$56),AR$33:AT$56,2,FALSE),VLOOKUP(AS58,AR$33:AT$56,2,FALSE)))</f>
        <v>-0.1</v>
      </c>
      <c r="AT59" s="158">
        <f>IF(AR58&lt;MIN(AR$33:AR$56),VLOOKUP(MIN(AR$33:AR$56),AR$33:AT$56,2,FALSE),IF(AR58&gt;MAX(AR$33:AR$56),VLOOKUP(MAX(AR$33:AR$56),AR$33:AT$56,2,FALSE),VLOOKUP(AT58,AR33:AT56,2,FALSE)))</f>
        <v>-0.1</v>
      </c>
      <c r="AU59" s="178">
        <f>IF($AG$88&lt;$AH$88,AV59,AW59)</f>
        <v>0.03</v>
      </c>
      <c r="AV59" s="158">
        <f>IF(AU58&lt;MIN(AU$33:AU$56),VLOOKUP(MIN(AU$33:AU$56),AU$33:AW$56,2,FALSE),IF(AU58&gt;MAX(AU$33:AU$56),VLOOKUP(MAX(AU$33:AU$56),AU$33:AW$56,2,FALSE),VLOOKUP(AV58,AU$33:AW$56,2,FALSE)))</f>
        <v>0.03</v>
      </c>
      <c r="AW59" s="158">
        <f>IF(AU58&lt;MIN(AU$33:AU$56),VLOOKUP(MIN(AU$33:AU$56),AU$33:AW$56,2,FALSE),IF(AU58&gt;MAX(AU$33:AU$56),VLOOKUP(MAX(AU$33:AU$56),AU$33:AW$56,2,FALSE),VLOOKUP(AW58,AU33:AW56,2,FALSE)))</f>
        <v>0.03</v>
      </c>
      <c r="AX59" s="178">
        <f>IF($AG$88&lt;$AH$88,AY59,AZ59)</f>
        <v>7.0000000000000007E-2</v>
      </c>
      <c r="AY59" s="158">
        <f>IF(AX58&lt;MIN(AX$33:AX$56),VLOOKUP(MIN(AX$33:AX$56),AX$33:AZ$56,2,FALSE),IF(AX58&gt;MAX(AX$33:AX$56),VLOOKUP(MAX(AX$33:AX$56),AX$33:AZ$56,2,FALSE),VLOOKUP(AY58,AX$33:AZ$56,2,FALSE)))</f>
        <v>7.0000000000000007E-2</v>
      </c>
      <c r="AZ59" s="158">
        <f>IF(AX58&lt;MIN(AX$33:AX$56),VLOOKUP(MIN(AX$33:AX$56),AX$33:AZ$56,2,FALSE),IF(AX58&gt;MAX(AX$33:AX$56),VLOOKUP(MAX(AX$33:AX$56),AX$33:AZ$56,2,FALSE),VLOOKUP(AZ58,AX33:AZ56,2,FALSE)))</f>
        <v>7.0000000000000007E-2</v>
      </c>
    </row>
    <row r="60" spans="1:53" x14ac:dyDescent="0.25">
      <c r="A60" s="150" t="s">
        <v>30</v>
      </c>
      <c r="B60" s="178" t="str">
        <f>IF(B58="","0",IF(C88&lt;D88,C60,D60))</f>
        <v>0</v>
      </c>
      <c r="C60" s="158">
        <f>IF(B58&lt;MIN(B$33:B$56),VLOOKUP(MIN(B$33:B$56),B$33:D$56,3,FALSE),IF(B58&gt;MAX(B$33:B$56),VLOOKUP(MAX(B$33:B$56),B$33:D$56,3,FALSE),VLOOKUP(C58,B$33:D$56,3,FALSE)))</f>
        <v>4.2000000000000003E-2</v>
      </c>
      <c r="D60" s="158">
        <f>IF(B58&lt;MIN(B$33:B$56),VLOOKUP(MIN(B$33:B$56),B$33:D$56,3,FALSE),IF(B58&gt;MAX(B$33:B$56),VLOOKUP(MAX(B$33:B$56),B$33:D$56,3,FALSE),VLOOKUP(D58,B$33:D$56,3,FALSE)))</f>
        <v>4.2000000000000003E-2</v>
      </c>
      <c r="E60" s="178" t="str">
        <f>IF(E58="","0",IF(F88&lt;G88,F60,G60))</f>
        <v>0</v>
      </c>
      <c r="F60" s="158">
        <f>IF(E58&lt;MIN(E$33:E$56),VLOOKUP(MIN(E$33:E$56),E$33:G$56,3,FALSE),IF(E58&gt;MAX(E$33:E$56),VLOOKUP(MAX(E$33:E$56),E$33:G$56,3,FALSE),VLOOKUP(F58,E$33:G$56,3,FALSE)))</f>
        <v>3.1E-2</v>
      </c>
      <c r="G60" s="158">
        <f>IF(E58&lt;MIN(E$33:E$56),VLOOKUP(MIN(E$33:E$56),E$33:G$56,3,FALSE),IF(E58&gt;MAX(E$33:E$56),VLOOKUP(MAX(E$33:E$56),E$33:G$56,3,FALSE),VLOOKUP(G58,E$33:G$56,3,FALSE)))</f>
        <v>3.1E-2</v>
      </c>
      <c r="H60" s="178" t="str">
        <f>IF(H58="","0",IF(I88&lt;J88,I60,J60))</f>
        <v>0</v>
      </c>
      <c r="I60" s="158">
        <f>IF(H58&lt;MIN(H$33:H$56),VLOOKUP(MIN(H$33:H$56),H$33:J$56,3,FALSE),IF(H58&gt;MAX(H$33:H$56),VLOOKUP(MAX(H$33:H$56),H$33:J$56,3,FALSE),VLOOKUP(I58,H$33:J$56,3,FALSE)))</f>
        <v>0.11</v>
      </c>
      <c r="J60" s="158">
        <f>IF(H58&lt;MIN(H$33:H$56),VLOOKUP(MIN(H$33:H$56),H$33:J$56,3,FALSE),IF(H58&gt;MAX(H$33:H$56),VLOOKUP(MAX(H$33:H$56),H$33:J$56,3,FALSE),VLOOKUP(J58,H$33:J$56,3,FALSE)))</f>
        <v>0.11</v>
      </c>
      <c r="K60" s="178" t="str">
        <f>IF(K58="","0",IF(L88&lt;M88,L60,M60))</f>
        <v>0</v>
      </c>
      <c r="L60" s="158">
        <f>IF(K58&lt;MIN(K$33:K$56),VLOOKUP(MIN(K$33:K$56),K$33:M$56,3,FALSE),IF(K58&gt;MAX(K$33:K$56),VLOOKUP(MAX(K$33:K$56),K$33:M$56,3,FALSE),VLOOKUP(L58,K$33:M$56,3,FALSE)))</f>
        <v>0.54</v>
      </c>
      <c r="M60" s="158">
        <f>IF(K58&lt;MIN(K$33:K$56),VLOOKUP(MIN(K$33:K$56),K$33:M$56,3,FALSE),IF(K58&gt;MAX(K$33:K$56),VLOOKUP(MAX(K$33:K$56),K$33:M$56,3,FALSE),VLOOKUP(M58,K$33:M$56,3,FALSE)))</f>
        <v>0.54</v>
      </c>
      <c r="N60" s="178" t="str">
        <f>IF(N58="","0",IF(O88&lt;P88,O60,P60))</f>
        <v>0</v>
      </c>
      <c r="O60" s="176">
        <f>IF(N58&lt;MIN(N$33:N$56),VLOOKUP(MIN(N$33:N$56),N$33:P$56,3,FALSE),IF(N58&gt;MAX(N$33:N$56),VLOOKUP(MAX(N$33:N$56),N$33:P$56,3,FALSE),VLOOKUP(O58,N$33:P$56,3,FALSE)))</f>
        <v>2.1000000000000001E-2</v>
      </c>
      <c r="P60" s="176">
        <f>IF(N58&lt;MIN(N$33:N$56),VLOOKUP(MIN(N$33:N$56),N$33:P$56,3,FALSE),IF(N58&gt;MAX(N$33:N$56),VLOOKUP(MAX(N$33:N$56),N$33:P$56,3,FALSE),VLOOKUP(P58,N$33:P$56,3,FALSE)))</f>
        <v>2.1000000000000001E-2</v>
      </c>
      <c r="Q60" s="178" t="str">
        <f>IF(Q58="","0",IF(R88&lt;S88,R60,S60))</f>
        <v>0</v>
      </c>
      <c r="R60" s="176">
        <f>IF(Q58&lt;MIN(Q$33:Q$56),VLOOKUP(MIN(Q$33:Q$56),Q$33:S$56,3,FALSE),IF(Q58&gt;MAX(Q$33:Q$56),VLOOKUP(MAX(Q$33:Q$56),Q$33:S$56,3,FALSE),VLOOKUP(R58,Q$33:S$56,3,FALSE)))</f>
        <v>6.2E-2</v>
      </c>
      <c r="S60" s="176">
        <f>IF(Q58&lt;MIN(Q$33:Q$56),VLOOKUP(MIN(Q$33:Q$56),Q$33:S$56,3,FALSE),IF(Q58&gt;MAX(Q$33:Q$56),VLOOKUP(MAX(Q$33:Q$56),Q$33:S$56,3,FALSE),VLOOKUP(S58,Q$33:S$56,3,FALSE)))</f>
        <v>6.2E-2</v>
      </c>
      <c r="T60" s="178" t="str">
        <f>IF(T58="","0",IF(U88&lt;V88,U60,V60))</f>
        <v>0</v>
      </c>
      <c r="U60" s="176">
        <f>IF(T58&lt;MIN(T$33:T$56),VLOOKUP(MIN(T$33:T$56),T$33:V$56,3,FALSE),IF(T58&gt;MAX(T$33:T$56),VLOOKUP(MAX(T$33:T$56),T$33:V$56,3,FALSE),VLOOKUP(U58,T$33:V$56,3,FALSE)))</f>
        <v>0.14199999999999999</v>
      </c>
      <c r="V60" s="176">
        <f>IF(T58&lt;MIN(T$33:T$56),VLOOKUP(MIN(T$33:T$56),T$33:V$56,3,FALSE),IF(T58&gt;MAX(T$33:T$56),VLOOKUP(MAX(T$33:T$56),T$33:V$56,3,FALSE),VLOOKUP(V58,T$33:V$56,3,FALSE)))</f>
        <v>0.14199999999999999</v>
      </c>
      <c r="W60" s="178" t="e">
        <f>IF(W58&lt;=MIN(W$33:W$56),VLOOKUP(MIN(W$33:W$56),W$33:Y$56,3,FALSE),IF(W58&gt;=MAX(W$33:W$56),VLOOKUP(MAX(W$33:W$56),W$33:Y$56,3,FALSE),X60+((#REF!-X58)/(Y58-X58))*(Y60-X60)))</f>
        <v>#N/A</v>
      </c>
      <c r="X60" s="177" t="e">
        <f>IF(W58&lt;MIN(W$33:W$56),VLOOKUP(MIN(W$33:W$56),W$33:Y$56,3,FALSE),IF(W58&gt;MAX(W$33:W$56),VLOOKUP(MAX(W$33:W$56),W$33:Y$56,3,FALSE),VLOOKUP(X58,W$33:Y$56,3,FALSE)))</f>
        <v>#N/A</v>
      </c>
      <c r="Y60" s="158" t="e">
        <f>IF(W58&lt;MIN(W$33:W$56),VLOOKUP(MIN(W$33:W$56),W$33:Y$56,3,FALSE),IF(W58&gt;MAX(W$33:W$56),VLOOKUP(MAX(W$33:W$56),W$33:Y$56,3,FALSE),VLOOKUP(Y58,W$33:Y$56,3,FALSE)))</f>
        <v>#N/A</v>
      </c>
      <c r="Z60" s="178" t="str">
        <f>IF(Z58="","0",IF(AA88&lt;AB88,AA60,AB60))</f>
        <v>0</v>
      </c>
      <c r="AA60" s="158">
        <f>IF(Z58&lt;MIN(Z$33:Z$56),VLOOKUP(MIN(Z$33:Z$56),Z$33:AB$56,3,FALSE),IF(Z58&gt;MAX(Z$33:Z$56),VLOOKUP(MAX(Z$33:Z$56),Z$33:AB$56,3,FALSE),VLOOKUP(AA58,Z$33:AB$56,3,FALSE)))</f>
        <v>0.13</v>
      </c>
      <c r="AB60" s="158">
        <f>IF(Z58&lt;MIN(Z$33:Z$56),VLOOKUP(MIN(Z$33:Z$56),Z$33:AB$56,3,FALSE),IF(Z58&gt;MAX(Z$33:Z$56),VLOOKUP(MAX(Z$33:Z$56),Z$33:AB$56,3,FALSE),VLOOKUP(AB58,Z$33:AB$56,3,FALSE)))</f>
        <v>0.13</v>
      </c>
      <c r="AC60" s="178" t="str">
        <f>IF(AC58="","0",IF(AD88&lt;AE88,AD60,AE60))</f>
        <v>0</v>
      </c>
      <c r="AD60" s="158">
        <f>IF(AC58&lt;MIN(AC$33:AC$56),VLOOKUP(MIN(AC$33:AC$56),AC$33:AE$56,3,FALSE),IF(AC58&gt;MAX(AC$33:AC$56),VLOOKUP(MAX(AC$33:AC$56),AC$33:AE$56,3,FALSE),VLOOKUP(AD58,AC$33:AE$56,3,FALSE)))</f>
        <v>0.13</v>
      </c>
      <c r="AE60" s="158">
        <f>IF(AC58&lt;MIN(AC$33:AC$56),VLOOKUP(MIN(AC$33:AC$56),AC$33:AE$56,3,FALSE),IF(AC58&gt;MAX(AC$33:AC$56),VLOOKUP(MAX(AC$33:AC$56),AC$33:AE$56,3,FALSE),VLOOKUP(AE58,AC$33:AE$56,3,FALSE)))</f>
        <v>0.13</v>
      </c>
      <c r="AF60" s="178" t="str">
        <f>IF(AF58="","0",IF(AG88&lt;AH88,AG60,AH60))</f>
        <v>0</v>
      </c>
      <c r="AG60" s="158">
        <f>IF(AF58&lt;MIN(AF$33:AF$56),VLOOKUP(MIN(AF$33:AF$56),AF$33:AH$56,3,FALSE),IF(AF58&gt;MAX(AF$33:AF$56),VLOOKUP(MAX(AF$33:AF$56),AF$33:AH$56,3,FALSE),VLOOKUP(AG58,AF$33:AH$56,3,FALSE)))</f>
        <v>0.13</v>
      </c>
      <c r="AH60" s="158">
        <f>IF(AF58&lt;MIN(AF$33:AF$56),VLOOKUP(MIN(AF$33:AF$56),AF$33:AH$56,3,FALSE),IF(AF58&gt;MAX(AF$33:AF$56),VLOOKUP(MAX(AF$33:AF$56),AF$33:AH$56,3,FALSE),VLOOKUP(AH58,AF$33:AH$56,3,FALSE)))</f>
        <v>0.13</v>
      </c>
      <c r="AI60" s="178" t="str">
        <f>IF(AI58="","0",IF(AJ88&lt;AK88,AJ60,AK60))</f>
        <v>0</v>
      </c>
      <c r="AJ60" s="158">
        <f>IF(AI58&lt;MIN(AI$33:AI$56),VLOOKUP(MIN(AI$33:AI$56),AI$33:AK$56,3,FALSE),IF(AI58&gt;MAX(AI$33:AI$56),VLOOKUP(MAX(AI$33:AI$56),AI$33:AK$56,3,FALSE),VLOOKUP(AJ58,AI$33:AK$56,3,FALSE)))</f>
        <v>0.13</v>
      </c>
      <c r="AK60" s="158">
        <f>IF(AI58&lt;MIN(AI$33:AI$56),VLOOKUP(MIN(AI$33:AI$56),AI$33:AK$56,3,FALSE),IF(AI58&gt;MAX(AI$33:AI$56),VLOOKUP(MAX(AI$33:AI$56),AI$33:AK$56,3,FALSE),VLOOKUP(AK58,AI$33:AK$56,3,FALSE)))</f>
        <v>0.13</v>
      </c>
      <c r="AL60" s="178" t="str">
        <f>IF(AL58="","0",IF(AM88&lt;AN88,AM60,AN60))</f>
        <v>0</v>
      </c>
      <c r="AM60" s="158">
        <f>IF(AL58&lt;MIN(AL$33:AL$56),VLOOKUP(MIN(AL$33:AL$56),AL$33:AN$56,3,FALSE),IF(AL58&gt;MAX(AL$33:AL$56),VLOOKUP(MAX(AL$33:AL$56),AL$33:AN$56,3,FALSE),VLOOKUP(AM58,AL$33:AN$56,3,FALSE)))</f>
        <v>0.153</v>
      </c>
      <c r="AN60" s="158">
        <f>IF(AL58&lt;MIN(AL$33:AL$56),VLOOKUP(MIN(AL$33:AL$56),AL$33:AN$56,3,FALSE),IF(AL58&gt;MAX(AL$33:AL$56),VLOOKUP(MAX(AL$33:AL$56),AL$33:AN$56,3,FALSE),VLOOKUP(AN58,AL$33:AN$56,3,FALSE)))</f>
        <v>0.153</v>
      </c>
      <c r="AO60" s="178" t="str">
        <f>IF(AO58="","0",IF(AP88&lt;AQ88,AP60,AQ60))</f>
        <v>0</v>
      </c>
      <c r="AP60" s="158">
        <f>IF(AO58&lt;MIN(AO$33:AO$56),VLOOKUP(MIN(AO$33:AO$56),AO$33:AQ$56,3,FALSE),IF(AO58&gt;MAX(AO$33:AO$56),VLOOKUP(MAX(AO$33:AO$56),AO$33:AQ$56,3,FALSE),VLOOKUP(AP58,AO$33:AQ$56,3,FALSE)))</f>
        <v>0.54</v>
      </c>
      <c r="AQ60" s="158">
        <f>IF(AO58&lt;MIN(AO$33:AO$56),VLOOKUP(MIN(AO$33:AO$56),AO$33:AQ$56,3,FALSE),IF(AO58&gt;MAX(AO$33:AO$56),VLOOKUP(MAX(AO$33:AO$56),AO$33:AQ$56,3,FALSE),VLOOKUP(AQ58,AO$33:AQ$56,3,FALSE)))</f>
        <v>0.54</v>
      </c>
      <c r="AR60" s="178" t="str">
        <f>IF(AR58="","0",IF(AS88&lt;AT88,AS60,AT60))</f>
        <v>0</v>
      </c>
      <c r="AS60" s="158">
        <f>IF(AR58&lt;MIN(AR$33:AR$56),VLOOKUP(MIN(AR$33:AR$56),AR$33:AT$56,3,FALSE),IF(AR58&gt;MAX(AR$33:AR$56),VLOOKUP(MAX(AR$33:AR$56),AR$33:AT$56,3,FALSE),VLOOKUP(AS58,AR$33:AT$56,3,FALSE)))</f>
        <v>0.54</v>
      </c>
      <c r="AT60" s="158">
        <f>IF(AR58&lt;MIN(AR$33:AR$56),VLOOKUP(MIN(AR$33:AR$56),AR$33:AT$56,3,FALSE),IF(AR58&gt;MAX(AR$33:AR$56),VLOOKUP(MAX(AR$33:AR$56),AR$33:AT$56,3,FALSE),VLOOKUP(AT58,AR$33:AT$56,3,FALSE)))</f>
        <v>0.54</v>
      </c>
      <c r="AU60" s="178" t="str">
        <f>IF(AU58="","0",IF(AV88&lt;AW88,AV60,AW60))</f>
        <v>0</v>
      </c>
      <c r="AV60" s="158">
        <f>IF(AU58&lt;MIN(AU$33:AU$56),VLOOKUP(MIN(AU$33:AU$56),AU$33:AW$56,3,FALSE),IF(AU58&gt;MAX(AU$33:AU$56),VLOOKUP(MAX(AU$33:AU$56),AU$33:AW$56,3,FALSE),VLOOKUP(AV58,AU$33:AW$56,3,FALSE)))</f>
        <v>0.1</v>
      </c>
      <c r="AW60" s="158">
        <f>IF(AU58&lt;MIN(AU$33:AU$56),VLOOKUP(MIN(AU$33:AU$56),AU$33:AW$56,3,FALSE),IF(AU58&gt;MAX(AU$33:AU$56),VLOOKUP(MAX(AU$33:AU$56),AU$33:AW$56,3,FALSE),VLOOKUP(AW58,AU$33:AW$56,3,FALSE)))</f>
        <v>0.1</v>
      </c>
      <c r="AX60" s="178" t="str">
        <f>IF(AX58="","0",IF(AY88&lt;AZ88,AY60,AZ60))</f>
        <v>0</v>
      </c>
      <c r="AY60" s="158">
        <f>IF(AX58&lt;MIN(AX$33:AX$56),VLOOKUP(MIN(AX$33:AX$56),AX$33:AZ$56,3,FALSE),IF(AX58&gt;MAX(AX$33:AX$56),VLOOKUP(MAX(AX$33:AX$56),AX$33:AZ$56,3,FALSE),VLOOKUP(AY58,AX$33:AZ$56,3,FALSE)))</f>
        <v>0.1</v>
      </c>
      <c r="AZ60" s="158">
        <f>IF(AX58&lt;MIN(AX$33:AX$56),VLOOKUP(MIN(AX$33:AX$56),AX$33:AZ$56,3,FALSE),IF(AX58&gt;MAX(AX$33:AX$56),VLOOKUP(MAX(AX$33:AX$56),AX$33:AZ$56,3,FALSE),VLOOKUP(AZ58,AX$33:AZ$56,3,FALSE)))</f>
        <v>0.1</v>
      </c>
    </row>
    <row r="61" spans="1:53" x14ac:dyDescent="0.25">
      <c r="A61" s="147">
        <v>2</v>
      </c>
      <c r="B61" s="175" t="str">
        <f>IF('datos crudos'!$O$27="","",'datos crudos'!$O$27)</f>
        <v/>
      </c>
      <c r="C61" s="158">
        <f>IF(B61&lt;MIN(B$33:B$56),MIN(B$33:B$56),IF(B61&gt;MAX(B$33:B$56),MAX(B$33:B$56),INDEX(B$33:B$56,VLOOKUP(B61,B$33:$BA$56,COLUMNS(B$3:$BA$3),TRUE),1)))</f>
        <v>399.31700000000001</v>
      </c>
      <c r="D61" s="158">
        <f>IF(B61&lt;MIN(B$33:B$56),MIN(B$33:B$56),IF(B61&gt;MAX(B$33:B$56),MAX(B$33:B$56),INDEX(B$33:B$56,VLOOKUP(B61,B$33:$BA$56,COLUMNS(B$3:$BA$3),TRUE)+1,1)))</f>
        <v>399.31700000000001</v>
      </c>
      <c r="E61" s="175" t="str">
        <f>B61</f>
        <v/>
      </c>
      <c r="F61" s="158">
        <f>IF(E61&lt;MIN(E$33:E$56),MIN(E$33:E$56),IF(E61&gt;MAX(E$33:E$56),MAX(E$33:E$56),INDEX(E$33:E$56,VLOOKUP(E61,E$33:$BA$56,COLUMNS(E$3:$BA$3),TRUE),1)))</f>
        <v>270.39999999999998</v>
      </c>
      <c r="G61" s="158">
        <f>IF(E61&lt;MIN(E$33:E$56),MIN(E$33:E$56),IF(E61&gt;MAX(E$33:E$56),MAX(E$33:E$56),INDEX(E$33:E$56,VLOOKUP(E61,E$33:$BA$56,COLUMNS(E$3:$BA$3),TRUE)+1,1)))</f>
        <v>270.39999999999998</v>
      </c>
      <c r="H61" s="175" t="str">
        <f>B61</f>
        <v/>
      </c>
      <c r="I61" s="158">
        <f>IF(H61&lt;MIN(H$33:H$56),MIN(H$33:H$56),IF(H61&gt;MAX(H$33:H$56),MAX(H$33:H$56),INDEX(H$33:H$56,VLOOKUP(H61,H$33:$BA$56,COLUMNS(H$3:$BA$3),TRUE),1)))</f>
        <v>400</v>
      </c>
      <c r="J61" s="158">
        <f>IF(H61&lt;MIN(H$33:H$56),MIN(H$33:H$56),IF(H61&gt;MAX(H$33:H$56),MAX(H$33:H$56),INDEX(H$33:H$56,VLOOKUP(H61,H$33:$BA$56,COLUMNS(H$3:$BA$3),TRUE)+1,1)))</f>
        <v>400</v>
      </c>
      <c r="K61" s="175" t="str">
        <f>E61</f>
        <v/>
      </c>
      <c r="L61" s="158">
        <f>IF(K61&lt;MIN(K$33:K$56),MIN(K$33:K$56),IF(K61&gt;MAX(K$33:K$56),MAX(K$33:K$56),INDEX(K$33:K$56,VLOOKUP(K61,K$33:$BA$56,COLUMNS(K$3:$BA$3),TRUE),1)))</f>
        <v>139.19999999999999</v>
      </c>
      <c r="M61" s="158">
        <f>IF(K61&lt;MIN(K$33:K$56),MIN(K$33:K$56),IF(K61&gt;MAX(K$33:K$56),MAX(K$33:K$56),INDEX(K$33:K$56,VLOOKUP(K61,K$33:$BA$56,COLUMNS(K$3:$BA$3),TRUE)+1,1)))</f>
        <v>139.19999999999999</v>
      </c>
      <c r="N61" s="175" t="str">
        <f>B61</f>
        <v/>
      </c>
      <c r="O61" s="176">
        <f>IF(N61&lt;MIN(N$33:N$56),MIN(N$33:N$56),IF(N61&gt;MAX(N$33:N$56),MAX(N$33:N$56),INDEX(N$33:N$56,VLOOKUP(N61,N$33:$BA$56,COLUMNS(N$3:$BA$3),TRUE),1)))</f>
        <v>398.86700000000002</v>
      </c>
      <c r="P61" s="176">
        <f>IF(N61&lt;MIN(N$33:N$56),MIN(N$33:N$56),IF(N61&gt;MAX(N$33:N$56),MAX(N$33:N$56),INDEX(N$33:N$56,VLOOKUP(N61,N$33:$BA$56,COLUMNS(N$3:$BA$3),TRUE)+1,1)))</f>
        <v>398.86700000000002</v>
      </c>
      <c r="Q61" s="175" t="str">
        <f>E61</f>
        <v/>
      </c>
      <c r="R61" s="176">
        <f>IF(Q61&lt;MIN(Q$33:Q$56),MIN(Q$33:Q$56),IF(Q61&gt;MAX(Q$33:Q$56),MAX(Q$33:Q$56),INDEX(Q$33:Q$56,VLOOKUP(Q61,Q$33:$BA$56,COLUMNS(Q$3:$BA$3),TRUE),1)))</f>
        <v>399.16</v>
      </c>
      <c r="S61" s="176">
        <f>IF(Q61&lt;MIN(Q$33:Q$56),MIN(Q$33:Q$56),IF(Q61&gt;MAX(Q$33:Q$56),MAX(Q$33:Q$56),INDEX(Q$33:Q$56,VLOOKUP(Q61,Q$33:$BA$56,COLUMNS(Q$3:$BA$3),TRUE)+1,1)))</f>
        <v>399.16</v>
      </c>
      <c r="T61" s="175" t="str">
        <f>H61</f>
        <v/>
      </c>
      <c r="U61" s="176">
        <f>IF(T61&lt;MIN(T$33:T$56),MIN(T$33:T$56),IF(T61&gt;MAX(T$33:T$56),MAX(T$33:T$56),INDEX(T$33:T$56,VLOOKUP(T61,T$33:$BA$56,COLUMNS(T$3:$BA$3),TRUE),1)))</f>
        <v>100.1</v>
      </c>
      <c r="V61" s="176">
        <f>IF(T61&lt;MIN(T$33:T$56),MIN(T$33:T$56),IF(T61&gt;MAX(T$33:T$56),MAX(T$33:T$56),INDEX(T$33:T$56,VLOOKUP(T61,T$33:$BA$56,COLUMNS(T$3:$BA$3),TRUE)+1,1)))</f>
        <v>100.1</v>
      </c>
      <c r="W61" s="175" t="str">
        <f>B61</f>
        <v/>
      </c>
      <c r="X61" s="177" t="e">
        <f>IF(W61&lt;MIN(W$33:W$56),MIN(W$33:W$56),IF(W61&gt;MAX(W$33:W$56),MAX(W$33:W$56),INDEX(W$33:W$56,VLOOKUP(W61,W$33:$BA$56,COLUMNS(W$3:$BA$3),TRUE),1)))</f>
        <v>#N/A</v>
      </c>
      <c r="Y61" s="158" t="e">
        <f>IF(W61&lt;MIN(W$33:W$56),MIN(W$33:W$56),IF(W61&gt;MAX(W$33:W$56),MAX(W$33:W$56),INDEX(W$33:W$56,VLOOKUP(W61,W$33:$BA$56,COLUMNS(W$3:$BA$3),TRUE)+1,1)))</f>
        <v>#N/A</v>
      </c>
      <c r="Z61" s="175" t="str">
        <f>B61</f>
        <v/>
      </c>
      <c r="AA61" s="158">
        <f>IF(Z61&lt;MIN(Z$33:Z$56),MIN(Z$33:Z$56),IF(Z61&gt;MAX(Z$33:Z$56),MAX(Z$33:Z$56),INDEX(Z$33:Z$56,VLOOKUP(Z61,Z$33:$BA$56,COLUMNS(Z$3:$BA$3),TRUE),1)))</f>
        <v>139.87</v>
      </c>
      <c r="AB61" s="158">
        <f>IF(Z61&lt;MIN(Z$33:Z$56),MIN(Z$33:Z$56),IF(Z61&gt;MAX(Z$33:Z$56),MAX(Z$33:Z$56),INDEX(Z$33:Z$56,VLOOKUP(Z61,Z$33:$BA$56,COLUMNS(Z$3:$BA$3),TRUE)+1,1)))</f>
        <v>139.87</v>
      </c>
      <c r="AC61" s="175" t="str">
        <f>B61</f>
        <v/>
      </c>
      <c r="AD61" s="158">
        <f>IF(AC61&lt;MIN(AC$33:AC$56),MIN(AC$33:AC$56),IF(AC61&gt;MAX(AC$33:AC$56),MAX(AC$33:AC$56),INDEX(AC$33:AC$56,VLOOKUP(AC61,AC$33:$BA$56,COLUMNS(AC$3:$BA$3),TRUE),1)))</f>
        <v>139.87</v>
      </c>
      <c r="AE61" s="158">
        <f>IF(AC61&lt;MIN(AC$33:AC$56),MIN(AC$33:AC$56),IF(AC61&gt;MAX(AC$33:AC$56),MAX(AC$33:AC$56),INDEX(AC$33:AC$56,VLOOKUP(AC61,AC$33:$BA$56,COLUMNS(AC$3:$BA$3),TRUE)+1,1)))</f>
        <v>139.87</v>
      </c>
      <c r="AF61" s="175" t="str">
        <f>B61</f>
        <v/>
      </c>
      <c r="AG61" s="158">
        <f>IF(AF61&lt;MIN(AF$33:AF$56),MIN(AF$33:AF$56),IF(AF61&gt;MAX(AF$33:AF$56),MAX(AF$33:AF$56),INDEX(AF$33:AF$56,VLOOKUP(AF61,AF$33:$BA$56,COLUMNS(AF$3:$BA$3),TRUE),1)))</f>
        <v>139.87</v>
      </c>
      <c r="AH61" s="158">
        <f>IF(AF61&lt;MIN(AF$33:AF$56),MIN(AF$33:AF$56),IF(AF61&gt;MAX(AF$33:AF$56),MAX(AF$33:AF$56),INDEX(AF$33:AF$56,VLOOKUP(AF61,AF$33:$BA$56,COLUMNS(AF$3:$BA$3),TRUE)+1,1)))</f>
        <v>139.87</v>
      </c>
      <c r="AI61" s="175" t="str">
        <f>E61</f>
        <v/>
      </c>
      <c r="AJ61" s="158">
        <f>IF(AI61&lt;MIN(AI$33:AI$56),MIN(AI$33:AI$56),IF(AI61&gt;MAX(AI$33:AI$56),MAX(AI$33:AI$56),INDEX(AI$33:AI$56,VLOOKUP(AI61,AI$33:$BA$56,COLUMNS(AI$3:$BA$3),TRUE),1)))</f>
        <v>139.88</v>
      </c>
      <c r="AK61" s="158">
        <f>IF(AI61&lt;MIN(AI$33:AI$56),MIN(AI$33:AI$56),IF(AI61&gt;MAX(AI$33:AI$56),MAX(AI$33:AI$56),INDEX(AI$33:AI$56,VLOOKUP(AI61,AI$33:$BA$56,COLUMNS(AI$3:$BA$3),TRUE)+1,1)))</f>
        <v>139.88</v>
      </c>
      <c r="AL61" s="175" t="str">
        <f>H61</f>
        <v/>
      </c>
      <c r="AM61" s="158">
        <f>IF(AL61&lt;MIN(AL$33:AL$56),MIN(AL$33:AL$56),IF(AL61&gt;MAX(AL$33:AL$56),MAX(AL$33:AL$56),INDEX(AL$33:AL$56,VLOOKUP(AL61,AL$33:$BA$56,COLUMNS(AL$3:$BA$3),TRUE),1)))</f>
        <v>300.2</v>
      </c>
      <c r="AN61" s="158">
        <f>IF(AL61&lt;MIN(AL$33:AL$56),MIN(AL$33:AL$56),IF(AL61&gt;MAX(AL$33:AL$56),MAX(AL$33:AL$56),INDEX(AL$33:AL$56,VLOOKUP(AL61,AL$33:$BA$56,COLUMNS(AL$3:$BA$3),TRUE)+1,1)))</f>
        <v>300.2</v>
      </c>
      <c r="AO61" s="175" t="str">
        <f>K61</f>
        <v/>
      </c>
      <c r="AP61" s="158">
        <f>IF(AO61&lt;MIN(AO$33:AO$56),MIN(AO$33:AO$56),IF(AO61&gt;MAX(AO$33:AO$56),MAX(AO$33:AO$56),INDEX(AO$33:AO$56,VLOOKUP(AO61,AO$33:$BA$56,COLUMNS(AO$3:$BA$3),TRUE),1)))</f>
        <v>139.80000000000001</v>
      </c>
      <c r="AQ61" s="158">
        <f>IF(AO61&lt;MIN(AO$33:AO$56),MIN(AO$33:AO$56),IF(AO61&gt;MAX(AO$33:AO$56),MAX(AO$33:AO$56),INDEX(AO$33:AO$56,VLOOKUP(AO61,AO$33:$BA$56,COLUMNS(AO$3:$BA$3),TRUE)+1,1)))</f>
        <v>139.80000000000001</v>
      </c>
      <c r="AR61" s="175" t="str">
        <f>N61</f>
        <v/>
      </c>
      <c r="AS61" s="158">
        <f>IF(AR61&lt;MIN(AR$33:AR$56),MIN(AR$33:AR$56),IF(AR61&gt;MAX(AR$33:AR$56),MAX(AR$33:AR$56),INDEX(AR$33:AR$56,VLOOKUP(AR61,AR$33:$BA$56,COLUMNS(AR$3:$BA$3),TRUE),1)))</f>
        <v>139.9</v>
      </c>
      <c r="AT61" s="158">
        <f>IF(AR61&lt;MIN(AR$33:AR$56),MIN(AR$33:AR$56),IF(AR61&gt;MAX(AR$33:AR$56),MAX(AR$33:AR$56),INDEX(AR$33:AR$56,VLOOKUP(AR61,AR$33:$BA$56,COLUMNS(AR$3:$BA$3),TRUE)+1,1)))</f>
        <v>139.9</v>
      </c>
      <c r="AU61" s="175" t="str">
        <f>Q61</f>
        <v/>
      </c>
      <c r="AV61" s="158">
        <f>IF(AU61&lt;MIN(AU$33:AU$56),MIN(AU$33:AU$56),IF(AU61&gt;MAX(AU$33:AU$56),MAX(AU$33:AU$56),INDEX(AU$33:AU$56,VLOOKUP(AU61,AU$33:$BA$56,COLUMNS(AU$3:$BA$3),TRUE),1)))</f>
        <v>40.33</v>
      </c>
      <c r="AW61" s="158">
        <f>IF(AU61&lt;MIN(AU$33:AU$56),MIN(AU$33:AU$56),IF(AU61&gt;MAX(AU$33:AU$56),MAX(AU$33:AU$56),INDEX(AU$33:AU$56,VLOOKUP(AU61,AU$33:$BA$56,COLUMNS(AU$3:$BA$3),TRUE)+1,1)))</f>
        <v>40.33</v>
      </c>
      <c r="AX61" s="175" t="str">
        <f>Q61</f>
        <v/>
      </c>
      <c r="AY61" s="158">
        <f>IF(AX61&lt;MIN(AX$33:AX$56),MIN(AX$33:AX$56),IF(AX61&gt;MAX(AX$33:AX$56),MAX(AX$33:AX$56),INDEX(AX$33:AX$56,VLOOKUP(AX61,AX$33:$BA$56,COLUMNS(AX$3:$BA$3),TRUE),1)))</f>
        <v>36.67</v>
      </c>
      <c r="AZ61" s="158">
        <f>IF(AX61&lt;MIN(AX$33:AX$56),MIN(AX$33:AX$56),IF(AX61&gt;MAX(AX$33:AX$56),MAX(AX$33:AX$56),INDEX(AX$33:AX$56,VLOOKUP(AX61,AX$33:$BA$56,COLUMNS(AX$3:$BA$3),TRUE)+1,1)))</f>
        <v>36.67</v>
      </c>
    </row>
    <row r="62" spans="1:53" x14ac:dyDescent="0.25">
      <c r="A62" s="150" t="s">
        <v>29</v>
      </c>
      <c r="B62" s="178">
        <f>IF(C89&lt;D89,C62,D62)</f>
        <v>0.54700000000000004</v>
      </c>
      <c r="C62" s="158">
        <f>IF(B61&lt;MIN(B$33:B$56),VLOOKUP(MIN(B$33:B$56),B$33:D$56,2,FALSE),IF(B61&gt;MAX(B$33:B$56),VLOOKUP(MAX(B$33:B$56),B$33:D$56,2,FALSE),VLOOKUP(C61,B$33:D$56,2,FALSE)))</f>
        <v>0.54700000000000004</v>
      </c>
      <c r="D62" s="158">
        <f>IF(B61&lt;MIN(B$33:B$56),VLOOKUP(MIN(B$33:B$56),B$33:D$56,2,FALSE),IF(B61&gt;MAX(B$33:B$56),VLOOKUP(MAX(B$33:B$56),B$33:D$56,2,FALSE),VLOOKUP(D61,B33:D56,2,FALSE)))</f>
        <v>0.54700000000000004</v>
      </c>
      <c r="E62" s="178">
        <f>IF($F$89&lt;$G$89,$F$62,$G$62)</f>
        <v>0.28799999999999998</v>
      </c>
      <c r="F62" s="158">
        <f>IF(E61&lt;MIN(E$33:E$56),VLOOKUP(MIN(E$33:E$56),E$33:G$56,2,FALSE),IF(E61&gt;MAX(E$33:E$56),VLOOKUP(MAX(E$33:E$56),E$33:G$56,2,FALSE),VLOOKUP(F61,E$33:G$56,2,FALSE)))</f>
        <v>0.28799999999999998</v>
      </c>
      <c r="G62" s="158">
        <f>IF(E61&lt;MIN(E$33:E$56),VLOOKUP(MIN(E$33:E$56),E$33:G$56,2,FALSE),IF(E61&gt;MAX(E$33:E$56),VLOOKUP(MAX(E$33:E$56),E$33:G$56,2,FALSE),VLOOKUP(G61,$E$33:$G$56,2,FALSE)))</f>
        <v>0.28799999999999998</v>
      </c>
      <c r="H62" s="178">
        <f>IF(I89&lt;J89,I62,J62)</f>
        <v>3.2000000000000001E-2</v>
      </c>
      <c r="I62" s="158">
        <f>IF(H61&lt;MIN(H$33:H$56),VLOOKUP(MIN(H$33:H$56),H$33:J$56,2,FALSE),IF(H61&gt;MAX(H$33:H$56),VLOOKUP(MAX(H$33:H$56),H$33:J$56,2,FALSE),VLOOKUP(I61,H$33:J$56,2,FALSE)))</f>
        <v>3.2000000000000001E-2</v>
      </c>
      <c r="J62" s="158">
        <f>IF(H61&lt;MIN(H$33:H$56),VLOOKUP(MIN(H$33:H$56),H$33:J$56,2,FALSE),IF(H61&gt;MAX(H$33:H$56),VLOOKUP(MAX(H$33:H$56),H$33:J$56,2,FALSE),VLOOKUP(J61,H33:J56,2,FALSE)))</f>
        <v>3.2000000000000001E-2</v>
      </c>
      <c r="K62" s="178">
        <f>IF(L89&lt;M89,L62,M62)</f>
        <v>-0.8</v>
      </c>
      <c r="L62" s="158">
        <f>IF(K61&lt;MIN(K$33:K$56),VLOOKUP(MIN(K$33:K$56),K$33:M$56,2,FALSE),IF(K61&gt;MAX(K$33:K$56),VLOOKUP(MAX(K$33:K$56),K$33:M$56,2,FALSE),VLOOKUP(L61,K$33:M$56,2,FALSE)))</f>
        <v>-0.8</v>
      </c>
      <c r="M62" s="158">
        <f>IF(K61&lt;MIN(K$33:K$56),VLOOKUP(MIN(K$33:K$56),K$33:M$56,2,FALSE),IF(K61&gt;MAX(K$33:K$56),VLOOKUP(MAX(K$33:K$56),K$33:M$56,2,FALSE),VLOOKUP(M61,K33:M56,2,FALSE)))</f>
        <v>-0.8</v>
      </c>
      <c r="N62" s="178">
        <f>IF($O$89&lt;$P$89,$O$62,$P$62)</f>
        <v>0.5363</v>
      </c>
      <c r="O62" s="176">
        <f>IF(N61&lt;MIN(N$33:N$56),VLOOKUP(MIN(N$33:N$56),N$33:P$56,2,FALSE),IF(N61&gt;MAX(N$33:N$56),VLOOKUP(MAX(N$33:N$56),N$33:P$56,2,FALSE),VLOOKUP(O61,N$33:P$56,2,FALSE)))</f>
        <v>0.5363</v>
      </c>
      <c r="P62" s="176">
        <f>IF(N61&lt;MIN(N$33:N$56),VLOOKUP(MIN(N$33:N$56),N$33:P$56,2,FALSE),IF(N61&gt;MAX(N$33:N$56),VLOOKUP(MAX(N$33:N$56),N$33:P$56,2,FALSE),VLOOKUP(P61,N33:P56,2,FALSE)))</f>
        <v>0.5363</v>
      </c>
      <c r="Q62" s="178">
        <f>IF($O$89&lt;$P$89,$O$62,$P$62)</f>
        <v>0.5363</v>
      </c>
      <c r="R62" s="176">
        <f>IF(Q61&lt;MIN(Q$33:Q$56),VLOOKUP(MIN(Q$33:Q$56),Q$33:S$56,2,FALSE),IF(Q61&gt;MAX(Q$33:Q$56),VLOOKUP(MAX(Q$33:Q$56),Q$33:S$56,2,FALSE),VLOOKUP(R61,Q$33:S$56,2,FALSE)))</f>
        <v>-1.0249999999999999</v>
      </c>
      <c r="S62" s="176">
        <f>IF(Q61&lt;MIN(Q$33:Q$56),VLOOKUP(MIN(Q$33:Q$56),Q$33:S$56,2,FALSE),IF(Q61&gt;MAX(Q$33:Q$56),VLOOKUP(MAX(Q$33:Q$56),Q$33:S$56,2,FALSE),VLOOKUP(S61,Q33:S56,2,FALSE)))</f>
        <v>-1.0249999999999999</v>
      </c>
      <c r="T62" s="178">
        <f>IF($O$89&lt;$P$89,$U$62,$V$62)</f>
        <v>0.19</v>
      </c>
      <c r="U62" s="176">
        <f>IF(T61&lt;MIN(T$33:T$56),VLOOKUP(MIN(T$33:T$56),T$33:V$56,2,FALSE),IF(T61&gt;MAX(T$33:T$56),VLOOKUP(MAX(T$33:T$56),T$33:V$56,2,FALSE),VLOOKUP(U61,T$33:V$56,2,FALSE)))</f>
        <v>0.19</v>
      </c>
      <c r="V62" s="176">
        <f>IF(T61&lt;MIN(T$33:T$56),VLOOKUP(MIN(T$33:T$56),T$33:V$56,2,FALSE),IF(T61&gt;MAX(T$33:T$56),VLOOKUP(MAX(T$33:T$56),T$33:V$56,2,FALSE),VLOOKUP(V61,T33:V56,2,FALSE)))</f>
        <v>0.19</v>
      </c>
      <c r="W62" s="178" t="e">
        <f>IF(W61&lt;=MIN(W$33:W$56),VLOOKUP(MIN(W$33:W$56),W$33:Y$56,2,FALSE),IF(W61&gt;=MAX(W$33:W$56),VLOOKUP(MAX(W$33:W$56),W$33:Y$56,2,FALSE),X62+((#REF!-X61)/(Y61-X61))*(Y62-X62)))</f>
        <v>#N/A</v>
      </c>
      <c r="X62" s="177" t="e">
        <f>IF(W61&lt;MIN(W$33:W$56),VLOOKUP(MIN(W$33:W$56),W$33:Y$56,2,FALSE),IF(W61&gt;MAX(W$33:W$56),VLOOKUP(MAX(W$33:W$56),W$33:Y$56,2,FALSE),VLOOKUP(X61,W$33:Y$56,2,FALSE)))</f>
        <v>#N/A</v>
      </c>
      <c r="Y62" s="158" t="e">
        <f>IF(W61&lt;MIN(W$33:W$56),VLOOKUP(MIN(W$33:W$56),W$33:Y$56,2,FALSE),IF(W61&gt;MAX(W$33:W$56),VLOOKUP(MAX(W$33:W$56),W$33:Y$56,2,FALSE),VLOOKUP(Y61,W33:Y56,2,FALSE)))</f>
        <v>#N/A</v>
      </c>
      <c r="Z62" s="178">
        <f>IF($AA$89&lt;$AB$89,AA62,AB62)</f>
        <v>0</v>
      </c>
      <c r="AA62" s="158">
        <f>IF(Z61&lt;MIN(Z$33:Z$56),VLOOKUP(MIN(Z$33:Z$56),Z$33:AB$56,2,FALSE),IF(Z61&gt;MAX(Z$33:Z$56),VLOOKUP(MAX(Z$33:Z$56),Z$33:AB$56,2,FALSE),VLOOKUP(AA61,Z$33:AB$56,2,FALSE)))</f>
        <v>0</v>
      </c>
      <c r="AB62" s="158">
        <f>IF(Z61&lt;MIN(Z$33:Z$56),VLOOKUP(MIN(Z$33:Z$56),Z$33:AB$56,2,FALSE),IF(Z61&gt;MAX(Z$33:Z$56),VLOOKUP(MAX(Z$33:Z$56),Z$33:AB$56,2,FALSE),VLOOKUP(AB61,Z33:AB56,2,FALSE)))</f>
        <v>0</v>
      </c>
      <c r="AC62" s="178">
        <f>IF($AD$89&lt;$AE$89,AD62,AE62)</f>
        <v>0</v>
      </c>
      <c r="AD62" s="158">
        <f>IF(AC61&lt;MIN(AC$33:AC$56),VLOOKUP(MIN(AC$33:AC$56),AC$33:AE$56,2,FALSE),IF(AC61&gt;MAX(AC$33:AC$56),VLOOKUP(MAX(AC$33:AC$56),AC$33:AE$56,2,FALSE),VLOOKUP(AD61,AC$33:AE$56,2,FALSE)))</f>
        <v>0</v>
      </c>
      <c r="AE62" s="158">
        <f>IF(AC61&lt;MIN(AC$33:AC$56),VLOOKUP(MIN(AC$33:AC$56),AC$33:AE$56,2,FALSE),IF(AC61&gt;MAX(AC$33:AC$56),VLOOKUP(MAX(AC$33:AC$56),AC$33:AE$56,2,FALSE),VLOOKUP(AE61,AC33:AE56,2,FALSE)))</f>
        <v>0</v>
      </c>
      <c r="AF62" s="178">
        <f>IF($AG$89&lt;$AH$89,AG62,AH62)</f>
        <v>0</v>
      </c>
      <c r="AG62" s="158">
        <f>IF(AF61&lt;MIN(AF$33:AF$56),VLOOKUP(MIN(AF$33:AF$56),AF$33:AH$56,2,FALSE),IF(AF61&gt;MAX(AF$33:AF$56),VLOOKUP(MAX(AF$33:AF$56),AF$33:AH$56,2,FALSE),VLOOKUP(AG61,AF$33:AH$56,2,FALSE)))</f>
        <v>0</v>
      </c>
      <c r="AH62" s="158">
        <f>IF(AF61&lt;MIN(AF$33:AF$56),VLOOKUP(MIN(AF$33:AF$56),AF$33:AH$56,2,FALSE),IF(AF61&gt;MAX(AF$33:AF$56),VLOOKUP(MAX(AF$33:AF$56),AF$33:AH$56,2,FALSE),VLOOKUP(AH61,AF33:AH56,2,FALSE)))</f>
        <v>0</v>
      </c>
      <c r="AI62" s="178">
        <f>IF($AG$89&lt;$AH$89,AJ62,AK62)</f>
        <v>0</v>
      </c>
      <c r="AJ62" s="158">
        <f>IF(AI61&lt;MIN(AI$33:AI$56),VLOOKUP(MIN(AI$33:AI$56),AI$33:AK$56,2,FALSE),IF(AI61&gt;MAX(AI$33:AI$56),VLOOKUP(MAX(AI$33:AI$56),AI$33:AK$56,2,FALSE),VLOOKUP(AJ61,AI$33:AK$56,2,FALSE)))</f>
        <v>0</v>
      </c>
      <c r="AK62" s="158">
        <f>IF(AI61&lt;MIN(AI$33:AI$56),VLOOKUP(MIN(AI$33:AI$56),AI$33:AK$56,2,FALSE),IF(AI61&gt;MAX(AI$33:AI$56),VLOOKUP(MAX(AI$33:AI$56),AI$33:AK$56,2,FALSE),VLOOKUP(AK61,AI33:AK56,2,FALSE)))</f>
        <v>0</v>
      </c>
      <c r="AL62" s="178">
        <f>IF($AG$89&lt;$AH$89,AM62,AN62)</f>
        <v>0.153</v>
      </c>
      <c r="AM62" s="158">
        <f>IF(AL61&lt;MIN(AL$33:AL$56),VLOOKUP(MIN(AL$33:AL$56),AL$33:AN$56,2,FALSE),IF(AL61&gt;MAX(AL$33:AL$56),VLOOKUP(MAX(AL$33:AL$56),AL$33:AN$56,2,FALSE),VLOOKUP(AM61,AL$33:AN$56,2,FALSE)))</f>
        <v>0.153</v>
      </c>
      <c r="AN62" s="158">
        <f>IF(AL61&lt;MIN(AL$33:AL$56),VLOOKUP(MIN(AL$33:AL$56),AL$33:AN$56,2,FALSE),IF(AL61&gt;MAX(AL$33:AL$56),VLOOKUP(MAX(AL$33:AL$56),AL$33:AN$56,2,FALSE),VLOOKUP(AN61,AL33:AN56,2,FALSE)))</f>
        <v>0.153</v>
      </c>
      <c r="AO62" s="178">
        <f>IF($AG$89&lt;$AH$89,AP62,AQ62)</f>
        <v>-0.2</v>
      </c>
      <c r="AP62" s="158">
        <f>IF(AO61&lt;MIN(AO$33:AO$56),VLOOKUP(MIN(AO$33:AO$56),AO$33:AQ$56,2,FALSE),IF(AO61&gt;MAX(AO$33:AO$56),VLOOKUP(MAX(AO$33:AO$56),AO$33:AQ$56,2,FALSE),VLOOKUP(AP61,AO$33:AQ$56,2,FALSE)))</f>
        <v>-0.2</v>
      </c>
      <c r="AQ62" s="158">
        <f>IF(AO61&lt;MIN(AO$33:AO$56),VLOOKUP(MIN(AO$33:AO$56),AO$33:AQ$56,2,FALSE),IF(AO61&gt;MAX(AO$33:AO$56),VLOOKUP(MAX(AO$33:AO$56),AO$33:AQ$56,2,FALSE),VLOOKUP(AQ61,AO33:AQ56,2,FALSE)))</f>
        <v>-0.2</v>
      </c>
      <c r="AR62" s="178">
        <f>IF($AG$89&lt;$AH$89,AS62,AT62)</f>
        <v>-0.1</v>
      </c>
      <c r="AS62" s="158">
        <f>IF(AR61&lt;MIN(AR$33:AR$56),VLOOKUP(MIN(AR$33:AR$56),AR$33:AT$56,2,FALSE),IF(AR61&gt;MAX(AR$33:AR$56),VLOOKUP(MAX(AR$33:AR$56),AR$33:AT$56,2,FALSE),VLOOKUP(AS61,AR$33:AT$56,2,FALSE)))</f>
        <v>-0.1</v>
      </c>
      <c r="AT62" s="158">
        <f>IF(AR61&lt;MIN(AR$33:AR$56),VLOOKUP(MIN(AR$33:AR$56),AR$33:AT$56,2,FALSE),IF(AR61&gt;MAX(AR$33:AR$56),VLOOKUP(MAX(AR$33:AR$56),AR$33:AT$56,2,FALSE),VLOOKUP(AT61,AR33:AT56,2,FALSE)))</f>
        <v>-0.1</v>
      </c>
      <c r="AU62" s="178">
        <f>IF($AG$89&lt;$AH$89,AV62,AW62)</f>
        <v>0.03</v>
      </c>
      <c r="AV62" s="158">
        <f>IF(AU61&lt;MIN(AU$33:AU$56),VLOOKUP(MIN(AU$33:AU$56),AU$33:AW$56,2,FALSE),IF(AU61&gt;MAX(AU$33:AU$56),VLOOKUP(MAX(AU$33:AU$56),AU$33:AW$56,2,FALSE),VLOOKUP(AV61,AU$33:AW$56,2,FALSE)))</f>
        <v>0.03</v>
      </c>
      <c r="AW62" s="158">
        <f>IF(AU61&lt;MIN(AU$33:AU$56),VLOOKUP(MIN(AU$33:AU$56),AU$33:AW$56,2,FALSE),IF(AU61&gt;MAX(AU$33:AU$56),VLOOKUP(MAX(AU$33:AU$56),AU$33:AW$56,2,FALSE),VLOOKUP(AW61,AU33:AW56,2,FALSE)))</f>
        <v>0.03</v>
      </c>
      <c r="AX62" s="178">
        <f>IF($AG$89&lt;$AH$89,AY62,AZ62)</f>
        <v>7.0000000000000007E-2</v>
      </c>
      <c r="AY62" s="158">
        <f>IF(AX61&lt;MIN(AX$33:AX$56),VLOOKUP(MIN(AX$33:AX$56),AX$33:AZ$56,2,FALSE),IF(AX61&gt;MAX(AX$33:AX$56),VLOOKUP(MAX(AX$33:AX$56),AX$33:AZ$56,2,FALSE),VLOOKUP(AY61,AX$33:AZ$56,2,FALSE)))</f>
        <v>7.0000000000000007E-2</v>
      </c>
      <c r="AZ62" s="158">
        <f>IF(AX61&lt;MIN(AX$33:AX$56),VLOOKUP(MIN(AX$33:AX$56),AX$33:AZ$56,2,FALSE),IF(AX61&gt;MAX(AX$33:AX$56),VLOOKUP(MAX(AX$33:AX$56),AX$33:AZ$56,2,FALSE),VLOOKUP(AZ61,AX33:AZ56,2,FALSE)))</f>
        <v>7.0000000000000007E-2</v>
      </c>
    </row>
    <row r="63" spans="1:53" x14ac:dyDescent="0.25">
      <c r="A63" s="150" t="s">
        <v>30</v>
      </c>
      <c r="B63" s="178" t="str">
        <f>IF(B61="","0",IF($C$89&lt;$D$89,$C$63,$D$63))</f>
        <v>0</v>
      </c>
      <c r="C63" s="158">
        <f>IF(B61&lt;MIN(B$33:B$56),VLOOKUP(MIN(B$33:B$56),B$33:D$56,3,FALSE),IF(B61&gt;MAX(B$33:B$56),VLOOKUP(MAX(B$33:B$56),B$33:D$56,3,FALSE),VLOOKUP(C61,B$33:D$56,3,FALSE)))</f>
        <v>4.2000000000000003E-2</v>
      </c>
      <c r="D63" s="158">
        <f>IF(B61&lt;MIN(B$33:B$56),VLOOKUP(MIN(B$33:B$56),B$33:D$56,3,FALSE),IF(B61&gt;MAX(B$33:B$56),VLOOKUP(MAX(B$33:B$56),B$33:D$56,3,FALSE),VLOOKUP(D61,B$33:D$56,3,FALSE)))</f>
        <v>4.2000000000000003E-2</v>
      </c>
      <c r="E63" s="178" t="str">
        <f>IF(E61="","0",IF(F89&lt;G89,F63,G63))</f>
        <v>0</v>
      </c>
      <c r="F63" s="158">
        <f>IF(E61&lt;MIN(E$33:E$56),VLOOKUP(MIN(E$33:E$56),E$33:G$56,3,FALSE),IF(E61&gt;MAX(E$33:E$56),VLOOKUP(MAX(E$33:E$56),E$33:G$56,3,FALSE),VLOOKUP(F61,E$33:G$56,3,FALSE)))</f>
        <v>3.1E-2</v>
      </c>
      <c r="G63" s="158">
        <f>IF(E61&lt;MIN(E$33:E$56),VLOOKUP(MIN(E$33:E$56),E$33:G$56,3,FALSE),IF(E61&gt;MAX(E$33:E$56),VLOOKUP(MAX(E$33:E$56),E$33:G$56,3,FALSE),VLOOKUP(G61,E$33:G$56,3,FALSE)))</f>
        <v>3.1E-2</v>
      </c>
      <c r="H63" s="178" t="str">
        <f>IF(H61="","0",IF(I89&lt;J89,I63,J63))</f>
        <v>0</v>
      </c>
      <c r="I63" s="158">
        <f>IF(H61&lt;MIN(H$33:H$56),VLOOKUP(MIN(H$33:H$56),H$33:J$56,3,FALSE),IF(H61&gt;MAX(H$33:H$56),VLOOKUP(MAX(H$33:H$56),H$33:J$56,3,FALSE),VLOOKUP(I61,H$33:J$56,3,FALSE)))</f>
        <v>0.11</v>
      </c>
      <c r="J63" s="158">
        <f>IF(H61&lt;MIN(H$33:H$56),VLOOKUP(MIN(H$33:H$56),H$33:J$56,3,FALSE),IF(H61&gt;MAX(H$33:H$56),VLOOKUP(MAX(H$33:H$56),H$33:J$56,3,FALSE),VLOOKUP(J61,H$33:J$56,3,FALSE)))</f>
        <v>0.11</v>
      </c>
      <c r="K63" s="178" t="str">
        <f>IF(K61="","0",IF(L89&lt;M89,L63,M63))</f>
        <v>0</v>
      </c>
      <c r="L63" s="158">
        <f>IF(K61&lt;MIN(K$33:K$56),VLOOKUP(MIN(K$33:K$56),K$33:M$56,3,FALSE),IF(K61&gt;MAX(K$33:K$56),VLOOKUP(MAX(K$33:K$56),K$33:M$56,3,FALSE),VLOOKUP(L61,K$33:M$56,3,FALSE)))</f>
        <v>0.54</v>
      </c>
      <c r="M63" s="158">
        <f>IF(K61&lt;MIN(K$33:K$56),VLOOKUP(MIN(K$33:K$56),K$33:M$56,3,FALSE),IF(K61&gt;MAX(K$33:K$56),VLOOKUP(MAX(K$33:K$56),K$33:M$56,3,FALSE),VLOOKUP(M61,K$33:M$56,3,FALSE)))</f>
        <v>0.54</v>
      </c>
      <c r="N63" s="178" t="str">
        <f>IF(N61="","0",IF(O89&lt;P89,O63,P63))</f>
        <v>0</v>
      </c>
      <c r="O63" s="176">
        <f>IF(N61&lt;MIN(N$33:N$56),VLOOKUP(MIN(N$33:N$56),N$33:P$56,3,FALSE),IF(N61&gt;MAX(N$33:N$56),VLOOKUP(MAX(N$33:N$56),N$33:P$56,3,FALSE),VLOOKUP(O61,N$33:P$56,3,FALSE)))</f>
        <v>2.1000000000000001E-2</v>
      </c>
      <c r="P63" s="176">
        <f>IF(N61&lt;MIN(N$33:N$56),VLOOKUP(MIN(N$33:N$56),N$33:P$56,3,FALSE),IF(N61&gt;MAX(N$33:N$56),VLOOKUP(MAX(N$33:N$56),N$33:P$56,3,FALSE),VLOOKUP(P61,N$33:P$56,3,FALSE)))</f>
        <v>2.1000000000000001E-2</v>
      </c>
      <c r="Q63" s="178" t="str">
        <f>IF(Q61="","0",IF(R89&lt;S89,R63,S63))</f>
        <v>0</v>
      </c>
      <c r="R63" s="176">
        <f>IF(Q61&lt;MIN(Q$33:Q$56),VLOOKUP(MIN(Q$33:Q$56),Q$33:S$56,3,FALSE),IF(Q61&gt;MAX(Q$33:Q$56),VLOOKUP(MAX(Q$33:Q$56),Q$33:S$56,3,FALSE),VLOOKUP(R61,Q$33:S$56,3,FALSE)))</f>
        <v>6.2E-2</v>
      </c>
      <c r="S63" s="176">
        <f>IF(Q61&lt;MIN(Q$33:Q$56),VLOOKUP(MIN(Q$33:Q$56),Q$33:S$56,3,FALSE),IF(Q61&gt;MAX(Q$33:Q$56),VLOOKUP(MAX(Q$33:Q$56),Q$33:S$56,3,FALSE),VLOOKUP(S61,Q$33:S$56,3,FALSE)))</f>
        <v>6.2E-2</v>
      </c>
      <c r="T63" s="178" t="str">
        <f>IF(T61="","0",IF(U89&lt;V89,U63,V63))</f>
        <v>0</v>
      </c>
      <c r="U63" s="176">
        <f>IF(T61&lt;MIN(T$33:T$56),VLOOKUP(MIN(T$33:T$56),T$33:V$56,3,FALSE),IF(T61&gt;MAX(T$33:T$56),VLOOKUP(MAX(T$33:T$56),T$33:V$56,3,FALSE),VLOOKUP(U61,T$33:V$56,3,FALSE)))</f>
        <v>0.14199999999999999</v>
      </c>
      <c r="V63" s="176">
        <f>IF(T61&lt;MIN(T$33:T$56),VLOOKUP(MIN(T$33:T$56),T$33:V$56,3,FALSE),IF(T61&gt;MAX(T$33:T$56),VLOOKUP(MAX(T$33:T$56),T$33:V$56,3,FALSE),VLOOKUP(V61,T$33:V$56,3,FALSE)))</f>
        <v>0.14199999999999999</v>
      </c>
      <c r="W63" s="178" t="e">
        <f>IF(W61&lt;=MIN(W$33:W$56),VLOOKUP(MIN(W$33:W$56),W$33:Y$56,3,FALSE),IF(W61&gt;=MAX(W$33:W$56),VLOOKUP(MAX(W$33:W$56),W$33:Y$56,3,FALSE),X63+((#REF!-X61)/(Y61-X61))*(Y63-X63)))</f>
        <v>#N/A</v>
      </c>
      <c r="X63" s="177" t="e">
        <f>IF(W61&lt;MIN(W$33:W$56),VLOOKUP(MIN(W$33:W$56),W$33:Y$56,3,FALSE),IF(W61&gt;MAX(W$33:W$56),VLOOKUP(MAX(W$33:W$56),W$33:Y$56,3,FALSE),VLOOKUP(X61,W$33:Y$56,3,FALSE)))</f>
        <v>#N/A</v>
      </c>
      <c r="Y63" s="158" t="e">
        <f>IF(W61&lt;MIN(W$33:W$56),VLOOKUP(MIN(W$33:W$56),W$33:Y$56,3,FALSE),IF(W61&gt;MAX(W$33:W$56),VLOOKUP(MAX(W$33:W$56),W$33:Y$56,3,FALSE),VLOOKUP(Y61,W$33:Y$56,3,FALSE)))</f>
        <v>#N/A</v>
      </c>
      <c r="Z63" s="178" t="str">
        <f>IF(Z61="","0",IF(AA89&lt;AB89,AA63,AB63))</f>
        <v>0</v>
      </c>
      <c r="AA63" s="158">
        <f>IF(Z61&lt;MIN(Z$33:Z$56),VLOOKUP(MIN(Z$33:Z$56),Z$33:AB$56,3,FALSE),IF(Z61&gt;MAX(Z$33:Z$56),VLOOKUP(MAX(Z$33:Z$56),Z$33:AB$56,3,FALSE),VLOOKUP(AA61,Z$33:AB$56,3,FALSE)))</f>
        <v>0.13</v>
      </c>
      <c r="AB63" s="158">
        <f>IF(Z61&lt;MIN(Z$33:Z$56),VLOOKUP(MIN(Z$33:Z$56),Z$33:AB$56,3,FALSE),IF(Z61&gt;MAX(Z$33:Z$56),VLOOKUP(MAX(Z$33:Z$56),Z$33:AB$56,3,FALSE),VLOOKUP(AB61,Z$33:AB$56,3,FALSE)))</f>
        <v>0.13</v>
      </c>
      <c r="AC63" s="178" t="str">
        <f>IF(AC61="","0",IF(AD89&lt;AE89,AD63,AE63))</f>
        <v>0</v>
      </c>
      <c r="AD63" s="158">
        <f>IF(AC61&lt;MIN(AC$33:AC$56),VLOOKUP(MIN(AC$33:AC$56),AC$33:AE$56,3,FALSE),IF(AC61&gt;MAX(AC$33:AC$56),VLOOKUP(MAX(AC$33:AC$56),AC$33:AE$56,3,FALSE),VLOOKUP(AD61,AC$33:AE$56,3,FALSE)))</f>
        <v>0.13</v>
      </c>
      <c r="AE63" s="158">
        <f>IF(AC61&lt;MIN(AC$33:AC$56),VLOOKUP(MIN(AC$33:AC$56),AC$33:AE$56,3,FALSE),IF(AC61&gt;MAX(AC$33:AC$56),VLOOKUP(MAX(AC$33:AC$56),AC$33:AE$56,3,FALSE),VLOOKUP(AE61,AC$33:AE$56,3,FALSE)))</f>
        <v>0.13</v>
      </c>
      <c r="AF63" s="178" t="str">
        <f>IF(AF61="","0",IF(AG89&lt;AH89,AG63,AH63))</f>
        <v>0</v>
      </c>
      <c r="AG63" s="158">
        <f>IF(AF61&lt;MIN(AF$33:AF$56),VLOOKUP(MIN(AF$33:AF$56),AF$33:AH$56,3,FALSE),IF(AF61&gt;MAX(AF$33:AF$56),VLOOKUP(MAX(AF$33:AF$56),AF$33:AH$56,3,FALSE),VLOOKUP(AG61,AF$33:AH$56,3,FALSE)))</f>
        <v>0.13</v>
      </c>
      <c r="AH63" s="158">
        <f>IF(AF61&lt;MIN(AF$33:AF$56),VLOOKUP(MIN(AF$33:AF$56),AF$33:AH$56,3,FALSE),IF(AF61&gt;MAX(AF$33:AF$56),VLOOKUP(MAX(AF$33:AF$56),AF$33:AH$56,3,FALSE),VLOOKUP(AH61,AF$33:AH$56,3,FALSE)))</f>
        <v>0.13</v>
      </c>
      <c r="AI63" s="178" t="str">
        <f>IF(AI61="","0",IF(AJ89&lt;AK89,AJ63,AK63))</f>
        <v>0</v>
      </c>
      <c r="AJ63" s="158">
        <f>IF(AI61&lt;MIN(AI$33:AI$56),VLOOKUP(MIN(AI$33:AI$56),AI$33:AK$56,3,FALSE),IF(AI61&gt;MAX(AI$33:AI$56),VLOOKUP(MAX(AI$33:AI$56),AI$33:AK$56,3,FALSE),VLOOKUP(AJ61,AI$33:AK$56,3,FALSE)))</f>
        <v>0.13</v>
      </c>
      <c r="AK63" s="158">
        <f>IF(AI61&lt;MIN(AI$33:AI$56),VLOOKUP(MIN(AI$33:AI$56),AI$33:AK$56,3,FALSE),IF(AI61&gt;MAX(AI$33:AI$56),VLOOKUP(MAX(AI$33:AI$56),AI$33:AK$56,3,FALSE),VLOOKUP(AK61,AI$33:AK$56,3,FALSE)))</f>
        <v>0.13</v>
      </c>
      <c r="AL63" s="178" t="str">
        <f>IF(AL61="","0",IF(AM89&lt;AN89,AM63,AN63))</f>
        <v>0</v>
      </c>
      <c r="AM63" s="158">
        <f>IF(AL61&lt;MIN(AL$33:AL$56),VLOOKUP(MIN(AL$33:AL$56),AL$33:AN$56,3,FALSE),IF(AL61&gt;MAX(AL$33:AL$56),VLOOKUP(MAX(AL$33:AL$56),AL$33:AN$56,3,FALSE),VLOOKUP(AM61,AL$33:AN$56,3,FALSE)))</f>
        <v>0.153</v>
      </c>
      <c r="AN63" s="158">
        <f>IF(AL61&lt;MIN(AL$33:AL$56),VLOOKUP(MIN(AL$33:AL$56),AL$33:AN$56,3,FALSE),IF(AL61&gt;MAX(AL$33:AL$56),VLOOKUP(MAX(AL$33:AL$56),AL$33:AN$56,3,FALSE),VLOOKUP(AN61,AL$33:AN$56,3,FALSE)))</f>
        <v>0.153</v>
      </c>
      <c r="AO63" s="178" t="str">
        <f>IF(AO61="","0",IF(AP89&lt;AQ89,AP63,AQ63))</f>
        <v>0</v>
      </c>
      <c r="AP63" s="158">
        <f>IF(AO61&lt;MIN(AO$33:AO$56),VLOOKUP(MIN(AO$33:AO$56),AO$33:AQ$56,3,FALSE),IF(AO61&gt;MAX(AO$33:AO$56),VLOOKUP(MAX(AO$33:AO$56),AO$33:AQ$56,3,FALSE),VLOOKUP(AP61,AO$33:AQ$56,3,FALSE)))</f>
        <v>0.54</v>
      </c>
      <c r="AQ63" s="158">
        <f>IF(AO61&lt;MIN(AO$33:AO$56),VLOOKUP(MIN(AO$33:AO$56),AO$33:AQ$56,3,FALSE),IF(AO61&gt;MAX(AO$33:AO$56),VLOOKUP(MAX(AO$33:AO$56),AO$33:AQ$56,3,FALSE),VLOOKUP(AQ61,AO$33:AQ$56,3,FALSE)))</f>
        <v>0.54</v>
      </c>
      <c r="AR63" s="178" t="str">
        <f>IF(AR61="","0",IF(AS89&lt;AT89,AS63,AT63))</f>
        <v>0</v>
      </c>
      <c r="AS63" s="158">
        <f>IF(AR61&lt;MIN(AR$33:AR$56),VLOOKUP(MIN(AR$33:AR$56),AR$33:AT$56,3,FALSE),IF(AR61&gt;MAX(AR$33:AR$56),VLOOKUP(MAX(AR$33:AR$56),AR$33:AT$56,3,FALSE),VLOOKUP(AS61,AR$33:AT$56,3,FALSE)))</f>
        <v>0.54</v>
      </c>
      <c r="AT63" s="158">
        <f>IF(AR61&lt;MIN(AR$33:AR$56),VLOOKUP(MIN(AR$33:AR$56),AR$33:AT$56,3,FALSE),IF(AR61&gt;MAX(AR$33:AR$56),VLOOKUP(MAX(AR$33:AR$56),AR$33:AT$56,3,FALSE),VLOOKUP(AT61,AR$33:AT$56,3,FALSE)))</f>
        <v>0.54</v>
      </c>
      <c r="AU63" s="178" t="str">
        <f>IF(AU61="","0",IF(AV89&lt;AW89,AV63,AW63))</f>
        <v>0</v>
      </c>
      <c r="AV63" s="158">
        <f>IF(AU61&lt;MIN(AU$33:AU$56),VLOOKUP(MIN(AU$33:AU$56),AU$33:AW$56,3,FALSE),IF(AU61&gt;MAX(AU$33:AU$56),VLOOKUP(MAX(AU$33:AU$56),AU$33:AW$56,3,FALSE),VLOOKUP(AV61,AU$33:AW$56,3,FALSE)))</f>
        <v>0.1</v>
      </c>
      <c r="AW63" s="158">
        <f>IF(AU61&lt;MIN(AU$33:AU$56),VLOOKUP(MIN(AU$33:AU$56),AU$33:AW$56,3,FALSE),IF(AU61&gt;MAX(AU$33:AU$56),VLOOKUP(MAX(AU$33:AU$56),AU$33:AW$56,3,FALSE),VLOOKUP(AW61,AU$33:AW$56,3,FALSE)))</f>
        <v>0.1</v>
      </c>
      <c r="AX63" s="178" t="str">
        <f>IF(AX61="","0",IF(AY89&lt;AZ89,AY63,AZ63))</f>
        <v>0</v>
      </c>
      <c r="AY63" s="158">
        <f>IF(AX61&lt;MIN(AX$33:AX$56),VLOOKUP(MIN(AX$33:AX$56),AX$33:AZ$56,3,FALSE),IF(AX61&gt;MAX(AX$33:AX$56),VLOOKUP(MAX(AX$33:AX$56),AX$33:AZ$56,3,FALSE),VLOOKUP(AY61,AX$33:AZ$56,3,FALSE)))</f>
        <v>0.1</v>
      </c>
      <c r="AZ63" s="158">
        <f>IF(AX61&lt;MIN(AX$33:AX$56),VLOOKUP(MIN(AX$33:AX$56),AX$33:AZ$56,3,FALSE),IF(AX61&gt;MAX(AX$33:AX$56),VLOOKUP(MAX(AX$33:AX$56),AX$33:AZ$56,3,FALSE),VLOOKUP(AZ61,AX$33:AZ$56,3,FALSE)))</f>
        <v>0.1</v>
      </c>
    </row>
    <row r="64" spans="1:53" x14ac:dyDescent="0.25">
      <c r="A64" s="147">
        <v>3</v>
      </c>
      <c r="B64" s="175" t="str">
        <f>IF('datos crudos'!$P$27="","",'datos crudos'!$P$27)</f>
        <v/>
      </c>
      <c r="C64" s="158">
        <f>IF(B64&lt;MIN(B$33:B$56),MIN(B$33:B$56),IF(B64&gt;MAX(B$33:B$56),MAX(B$33:B$56),INDEX(B$33:B$56,VLOOKUP(B64,B$33:$BA$56,COLUMNS(B$3:$BA$3),TRUE),1)))</f>
        <v>399.31700000000001</v>
      </c>
      <c r="D64" s="158">
        <f>IF(B64&lt;MIN(B$33:B$56),MIN(B$33:B$56),IF(B64&gt;MAX(B$33:B$56),MAX(B$33:B$56),INDEX(B$33:B$56,VLOOKUP(B64,B$33:$BA$56,COLUMNS(B$3:$BA$3),TRUE)+1,1)))</f>
        <v>399.31700000000001</v>
      </c>
      <c r="E64" s="175" t="str">
        <f>B64</f>
        <v/>
      </c>
      <c r="F64" s="158">
        <f>IF(E64&lt;MIN(E$33:E$56),MIN(E$33:E$56),IF(E64&gt;MAX(E$33:E$56),MAX(E$33:E$56),INDEX(E$33:E$56,VLOOKUP(E64,E$33:$BA$56,COLUMNS(E$3:$BA$3),TRUE),1)))</f>
        <v>270.39999999999998</v>
      </c>
      <c r="G64" s="158">
        <f>IF(E64&lt;MIN(E$33:E$56),MIN(E$33:E$56),IF(E64&gt;MAX(E$33:E$56),MAX(E$33:E$56),INDEX(E$33:E$56,VLOOKUP(E64,E$33:$BA$56,COLUMNS(E$3:$BA$3),TRUE)+1,1)))</f>
        <v>270.39999999999998</v>
      </c>
      <c r="H64" s="175" t="str">
        <f>B64</f>
        <v/>
      </c>
      <c r="I64" s="158">
        <f>IF(H64&lt;MIN(H$33:H$56),MIN(H$33:H$56),IF(H64&gt;MAX(H$33:H$56),MAX(H$33:H$56),INDEX(H$33:H$56,VLOOKUP(H64,H$33:$BA$56,COLUMNS(H$3:$BA$3),TRUE),1)))</f>
        <v>400</v>
      </c>
      <c r="J64" s="158">
        <f>IF(H64&lt;MIN(H$33:H$56),MIN(H$33:H$56),IF(H64&gt;MAX(H$33:H$56),MAX(H$33:H$56),INDEX(H$33:H$56,VLOOKUP(H64,H$33:$BA$56,COLUMNS(H$3:$BA$3),TRUE)+1,1)))</f>
        <v>400</v>
      </c>
      <c r="K64" s="175" t="str">
        <f>E64</f>
        <v/>
      </c>
      <c r="L64" s="158">
        <f>IF(K64&lt;MIN(K$33:K$56),MIN(K$33:K$56),IF(K64&gt;MAX(K$33:K$56),MAX(K$33:K$56),INDEX(K$33:K$56,VLOOKUP(K64,K$33:$BA$56,COLUMNS(K$3:$BA$3),TRUE),1)))</f>
        <v>139.19999999999999</v>
      </c>
      <c r="M64" s="158">
        <f>IF(K64&lt;MIN(K$33:K$56),MIN(K$33:K$56),IF(K64&gt;MAX(K$33:K$56),MAX(K$33:K$56),INDEX(K$33:K$56,VLOOKUP(K64,K$33:$BA$56,COLUMNS(K$3:$BA$3),TRUE)+1,1)))</f>
        <v>139.19999999999999</v>
      </c>
      <c r="N64" s="175" t="str">
        <f>B64</f>
        <v/>
      </c>
      <c r="O64" s="176">
        <f>IF(N64&lt;MIN(N$33:N$56),MIN(N$33:N$56),IF(N64&gt;MAX(N$33:N$56),MAX(N$33:N$56),INDEX(N$33:N$56,VLOOKUP(N64,N$33:$BA$56,COLUMNS(N$3:$BA$3),TRUE),1)))</f>
        <v>398.86700000000002</v>
      </c>
      <c r="P64" s="176">
        <f>IF(N64&lt;MIN(N$33:N$56),MIN(N$33:N$56),IF(N64&gt;MAX(N$33:N$56),MAX(N$33:N$56),INDEX(N$33:N$56,VLOOKUP(N64,N$33:$BA$56,COLUMNS(N$3:$BA$3),TRUE)+1,1)))</f>
        <v>398.86700000000002</v>
      </c>
      <c r="Q64" s="175" t="str">
        <f>E64</f>
        <v/>
      </c>
      <c r="R64" s="176">
        <f>IF(Q64&lt;MIN(Q$33:Q$56),MIN(Q$33:Q$56),IF(Q64&gt;MAX(Q$33:Q$56),MAX(Q$33:Q$56),INDEX(Q$33:Q$56,VLOOKUP(Q64,Q$33:$BA$56,COLUMNS(Q$3:$BA$3),TRUE),1)))</f>
        <v>399.16</v>
      </c>
      <c r="S64" s="176">
        <f>IF(Q64&lt;MIN(Q$33:Q$56),MIN(Q$33:Q$56),IF(Q64&gt;MAX(Q$33:Q$56),MAX(Q$33:Q$56),INDEX(Q$33:Q$56,VLOOKUP(Q64,Q$33:$BA$56,COLUMNS(Q$3:$BA$3),TRUE)+1,1)))</f>
        <v>399.16</v>
      </c>
      <c r="T64" s="175" t="str">
        <f>H64</f>
        <v/>
      </c>
      <c r="U64" s="176">
        <f>IF(T64&lt;MIN(T$33:T$56),MIN(T$33:T$56),IF(T64&gt;MAX(T$33:T$56),MAX(T$33:T$56),INDEX(T$33:T$56,VLOOKUP(T64,T$33:$BA$56,COLUMNS(T$3:$BA$3),TRUE),1)))</f>
        <v>100.1</v>
      </c>
      <c r="V64" s="176">
        <f>IF(T64&lt;MIN(T$33:T$56),MIN(T$33:T$56),IF(T64&gt;MAX(T$33:T$56),MAX(T$33:T$56),INDEX(T$33:T$56,VLOOKUP(T64,T$33:$BA$56,COLUMNS(T$3:$BA$3),TRUE)+1,1)))</f>
        <v>100.1</v>
      </c>
      <c r="W64" s="175" t="str">
        <f>B64</f>
        <v/>
      </c>
      <c r="X64" s="177" t="e">
        <f>IF(W64&lt;MIN(W$33:W$56),MIN(W$33:W$56),IF(W64&gt;MAX(W$33:W$56),MAX(W$33:W$56),INDEX(W$33:W$56,VLOOKUP(W64,W$33:$BA$56,COLUMNS(W$3:$BA$3),TRUE),1)))</f>
        <v>#N/A</v>
      </c>
      <c r="Y64" s="158" t="e">
        <f>IF(W64&lt;MIN(W$33:W$56),MIN(W$33:W$56),IF(W64&gt;MAX(W$33:W$56),MAX(W$33:W$56),INDEX(W$33:W$56,VLOOKUP(W64,W$33:$BA$56,COLUMNS(W$3:$BA$3),TRUE)+1,1)))</f>
        <v>#N/A</v>
      </c>
      <c r="Z64" s="175" t="str">
        <f>B64</f>
        <v/>
      </c>
      <c r="AA64" s="158">
        <f>IF(Z64&lt;MIN(Z$33:Z$56),MIN(Z$33:Z$56),IF(Z64&gt;MAX(Z$33:Z$56),MAX(Z$33:Z$56),INDEX(Z$33:Z$56,VLOOKUP(Z64,Z$33:$BA$56,COLUMNS(Z$3:$BA$3),TRUE),1)))</f>
        <v>139.87</v>
      </c>
      <c r="AB64" s="158">
        <f>IF(Z64&lt;MIN(Z$33:Z$56),MIN(Z$33:Z$56),IF(Z64&gt;MAX(Z$33:Z$56),MAX(Z$33:Z$56),INDEX(Z$33:Z$56,VLOOKUP(Z64,Z$33:$BA$56,COLUMNS(Z$3:$BA$3),TRUE)+1,1)))</f>
        <v>139.87</v>
      </c>
      <c r="AC64" s="175" t="str">
        <f>B64</f>
        <v/>
      </c>
      <c r="AD64" s="158">
        <f>IF(AC64&lt;MIN(AC$33:AC$56),MIN(AC$33:AC$56),IF(AC64&gt;MAX(AC$33:AC$56),MAX(AC$33:AC$56),INDEX(AC$33:AC$56,VLOOKUP(AC64,AC$33:$BA$56,COLUMNS(AC$3:$BA$3),TRUE),1)))</f>
        <v>139.87</v>
      </c>
      <c r="AE64" s="158">
        <f>IF(AC64&lt;MIN(AC$33:AC$56),MIN(AC$33:AC$56),IF(AC64&gt;MAX(AC$33:AC$56),MAX(AC$33:AC$56),INDEX(AC$33:AC$56,VLOOKUP(AC64,AC$33:$BA$56,COLUMNS(AC$3:$BA$3),TRUE)+1,1)))</f>
        <v>139.87</v>
      </c>
      <c r="AF64" s="175" t="str">
        <f>B64</f>
        <v/>
      </c>
      <c r="AG64" s="158">
        <f>IF(AF64&lt;MIN(AF$33:AF$56),MIN(AF$33:AF$56),IF(AF64&gt;MAX(AF$33:AF$56),MAX(AF$33:AF$56),INDEX(AF$33:AF$56,VLOOKUP(AF64,AF$33:$BA$56,COLUMNS(AF$3:$BA$3),TRUE),1)))</f>
        <v>139.87</v>
      </c>
      <c r="AH64" s="158">
        <f>IF(AF64&lt;MIN(AF$33:AF$56),MIN(AF$33:AF$56),IF(AF64&gt;MAX(AF$33:AF$56),MAX(AF$33:AF$56),INDEX(AF$33:AF$56,VLOOKUP(AF64,AF$33:$BA$56,COLUMNS(AF$3:$BA$3),TRUE)+1,1)))</f>
        <v>139.87</v>
      </c>
      <c r="AI64" s="175" t="str">
        <f>E64</f>
        <v/>
      </c>
      <c r="AJ64" s="158">
        <f>IF(AI64&lt;MIN(AI$33:AI$56),MIN(AI$33:AI$56),IF(AI64&gt;MAX(AI$33:AI$56),MAX(AI$33:AI$56),INDEX(AI$33:AI$56,VLOOKUP(AI64,AI$33:$BA$56,COLUMNS(AI$3:$BA$3),TRUE),1)))</f>
        <v>139.88</v>
      </c>
      <c r="AK64" s="158">
        <f>IF(AI64&lt;MIN(AI$33:AI$56),MIN(AI$33:AI$56),IF(AI64&gt;MAX(AI$33:AI$56),MAX(AI$33:AI$56),INDEX(AI$33:AI$56,VLOOKUP(AI64,AI$33:$BA$56,COLUMNS(AI$3:$BA$3),TRUE)+1,1)))</f>
        <v>139.88</v>
      </c>
      <c r="AL64" s="175" t="str">
        <f>H64</f>
        <v/>
      </c>
      <c r="AM64" s="158">
        <f>IF(AL64&lt;MIN(AL$33:AL$56),MIN(AL$33:AL$56),IF(AL64&gt;MAX(AL$33:AL$56),MAX(AL$33:AL$56),INDEX(AL$33:AL$56,VLOOKUP(AL64,AL$33:$BA$56,COLUMNS(AL$3:$BA$3),TRUE),1)))</f>
        <v>300.2</v>
      </c>
      <c r="AN64" s="158">
        <f>IF(AL64&lt;MIN(AL$33:AL$56),MIN(AL$33:AL$56),IF(AL64&gt;MAX(AL$33:AL$56),MAX(AL$33:AL$56),INDEX(AL$33:AL$56,VLOOKUP(AL64,AL$33:$BA$56,COLUMNS(AL$3:$BA$3),TRUE)+1,1)))</f>
        <v>300.2</v>
      </c>
      <c r="AO64" s="175" t="str">
        <f>K64</f>
        <v/>
      </c>
      <c r="AP64" s="158">
        <f>IF(AO64&lt;MIN(AO$33:AO$56),MIN(AO$33:AO$56),IF(AO64&gt;MAX(AO$33:AO$56),MAX(AO$33:AO$56),INDEX(AO$33:AO$56,VLOOKUP(AO64,AO$33:$BA$56,COLUMNS(AO$3:$BA$3),TRUE),1)))</f>
        <v>139.80000000000001</v>
      </c>
      <c r="AQ64" s="158">
        <f>IF(AO64&lt;MIN(AO$33:AO$56),MIN(AO$33:AO$56),IF(AO64&gt;MAX(AO$33:AO$56),MAX(AO$33:AO$56),INDEX(AO$33:AO$56,VLOOKUP(AO64,AO$33:$BA$56,COLUMNS(AO$3:$BA$3),TRUE)+1,1)))</f>
        <v>139.80000000000001</v>
      </c>
      <c r="AR64" s="175" t="str">
        <f>N64</f>
        <v/>
      </c>
      <c r="AS64" s="158">
        <f>IF(AR64&lt;MIN(AR$33:AR$56),MIN(AR$33:AR$56),IF(AR64&gt;MAX(AR$33:AR$56),MAX(AR$33:AR$56),INDEX(AR$33:AR$56,VLOOKUP(AR64,AR$33:$BA$56,COLUMNS(AR$3:$BA$3),TRUE),1)))</f>
        <v>139.9</v>
      </c>
      <c r="AT64" s="158">
        <f>IF(AR64&lt;MIN(AR$33:AR$56),MIN(AR$33:AR$56),IF(AR64&gt;MAX(AR$33:AR$56),MAX(AR$33:AR$56),INDEX(AR$33:AR$56,VLOOKUP(AR64,AR$33:$BA$56,COLUMNS(AR$3:$BA$3),TRUE)+1,1)))</f>
        <v>139.9</v>
      </c>
      <c r="AU64" s="175" t="str">
        <f>Q64</f>
        <v/>
      </c>
      <c r="AV64" s="158">
        <f>IF(AU64&lt;MIN(AU$33:AU$56),MIN(AU$33:AU$56),IF(AU64&gt;MAX(AU$33:AU$56),MAX(AU$33:AU$56),INDEX(AU$33:AU$56,VLOOKUP(AU64,AU$33:$BA$56,COLUMNS(AU$3:$BA$3),TRUE),1)))</f>
        <v>40.33</v>
      </c>
      <c r="AW64" s="158">
        <f>IF(AU64&lt;MIN(AU$33:AU$56),MIN(AU$33:AU$56),IF(AU64&gt;MAX(AU$33:AU$56),MAX(AU$33:AU$56),INDEX(AU$33:AU$56,VLOOKUP(AU64,AU$33:$BA$56,COLUMNS(AU$3:$BA$3),TRUE)+1,1)))</f>
        <v>40.33</v>
      </c>
      <c r="AX64" s="175" t="str">
        <f>Q64</f>
        <v/>
      </c>
      <c r="AY64" s="158">
        <f>IF(AX64&lt;MIN(AX$33:AX$56),MIN(AX$33:AX$56),IF(AX64&gt;MAX(AX$33:AX$56),MAX(AX$33:AX$56),INDEX(AX$33:AX$56,VLOOKUP(AX64,AX$33:$BA$56,COLUMNS(AX$3:$BA$3),TRUE),1)))</f>
        <v>36.67</v>
      </c>
      <c r="AZ64" s="158">
        <f>IF(AX64&lt;MIN(AX$33:AX$56),MIN(AX$33:AX$56),IF(AX64&gt;MAX(AX$33:AX$56),MAX(AX$33:AX$56),INDEX(AX$33:AX$56,VLOOKUP(AX64,AX$33:$BA$56,COLUMNS(AX$3:$BA$3),TRUE)+1,1)))</f>
        <v>36.67</v>
      </c>
    </row>
    <row r="65" spans="1:52" x14ac:dyDescent="0.25">
      <c r="A65" s="150" t="s">
        <v>29</v>
      </c>
      <c r="B65" s="178">
        <f>IF(C90&lt;D90,C65,D65)</f>
        <v>0.54700000000000004</v>
      </c>
      <c r="C65" s="158">
        <f>IF(B64&lt;MIN(B$33:B$56),VLOOKUP(MIN(B$33:B$56),B$33:D$56,2,FALSE),IF(B64&gt;MAX(B$33:B$56),VLOOKUP(MAX(B$33:B$56),B$33:D$56,2,FALSE),VLOOKUP(C64,B$33:D$56,2,FALSE)))</f>
        <v>0.54700000000000004</v>
      </c>
      <c r="D65" s="158">
        <f>IF(B64&lt;MIN(B$33:B$56),VLOOKUP(MIN(B$33:B$56),B$33:D$56,2,FALSE),IF(B64&gt;MAX(B$33:B$56),VLOOKUP(MAX(B$33:B$56),B$33:D$56,2,FALSE),VLOOKUP(D64,B33:D56,2,FALSE)))</f>
        <v>0.54700000000000004</v>
      </c>
      <c r="E65" s="178">
        <f>IF($F$90&lt;$G$90,$F$65,$G$65)</f>
        <v>0.28799999999999998</v>
      </c>
      <c r="F65" s="158">
        <f>IF(E64&lt;MIN(E$33:E$56),VLOOKUP(MIN(E$33:E$56),E$33:G$56,2,FALSE),IF(E64&gt;MAX(E$33:E$56),VLOOKUP(MAX(E$33:E$56),E$33:G$56,2,FALSE),VLOOKUP(F64,E$33:G$56,2,FALSE)))</f>
        <v>0.28799999999999998</v>
      </c>
      <c r="G65" s="158">
        <f>IF(E64&lt;MIN(E$33:E$56),VLOOKUP(MIN(E$33:E$56),E$33:G$56,2,FALSE),IF(E64&gt;MAX(E$33:E$56),VLOOKUP(MAX(E$33:E$56),E$33:G$56,2,FALSE),VLOOKUP(G64,E33:G56,2,FALSE)))</f>
        <v>0.28799999999999998</v>
      </c>
      <c r="H65" s="178">
        <f>IF(I90&lt;J90,I65,J65)</f>
        <v>3.2000000000000001E-2</v>
      </c>
      <c r="I65" s="158">
        <f>IF(H64&lt;MIN(H$33:H$56),VLOOKUP(MIN(H$33:H$56),H$33:J$56,2,FALSE),IF(H64&gt;MAX(H$33:H$56),VLOOKUP(MAX(H$33:H$56),H$33:J$56,2,FALSE),VLOOKUP(I64,H$33:J$56,2,FALSE)))</f>
        <v>3.2000000000000001E-2</v>
      </c>
      <c r="J65" s="158">
        <f>IF(H64&lt;MIN(H$33:H$56),VLOOKUP(MIN(H$33:H$56),H$33:J$56,2,FALSE),IF(H64&gt;MAX(H$33:H$56),VLOOKUP(MAX(H$33:H$56),H$33:J$56,2,FALSE),VLOOKUP(J64,H33:J56,2,FALSE)))</f>
        <v>3.2000000000000001E-2</v>
      </c>
      <c r="K65" s="178">
        <f>IF(L90&lt;M90,L65,M65)</f>
        <v>-0.8</v>
      </c>
      <c r="L65" s="158">
        <f>IF(K64&lt;MIN(K$33:K$56),VLOOKUP(MIN(K$33:K$56),K$33:M$56,2,FALSE),IF(K64&gt;MAX(K$33:K$56),VLOOKUP(MAX(K$33:K$56),K$33:M$56,2,FALSE),VLOOKUP(L64,K$33:M$56,2,FALSE)))</f>
        <v>-0.8</v>
      </c>
      <c r="M65" s="158">
        <f>IF(K64&lt;MIN(K$33:K$56),VLOOKUP(MIN(K$33:K$56),K$33:M$56,2,FALSE),IF(K64&gt;MAX(K$33:K$56),VLOOKUP(MAX(K$33:K$56),K$33:M$56,2,FALSE),VLOOKUP(M64,K33:M56,2,FALSE)))</f>
        <v>-0.8</v>
      </c>
      <c r="N65" s="178">
        <f>IF(O90&lt;P90,O65,P65)</f>
        <v>0.5363</v>
      </c>
      <c r="O65" s="176">
        <f>IF(N64&lt;MIN(N$33:N$56),VLOOKUP(MIN(N$33:N$56),N$33:P$56,2,FALSE),IF(N64&gt;MAX(N$33:N$56),VLOOKUP(MAX(N$33:N$56),N$33:P$56,2,FALSE),VLOOKUP(O64,N$33:P$56,2,FALSE)))</f>
        <v>0.5363</v>
      </c>
      <c r="P65" s="176">
        <f>IF(N64&lt;MIN(N$33:N$56),VLOOKUP(MIN(N$33:N$56),N$33:P$56,2,FALSE),IF(N64&gt;MAX(N$33:N$56),VLOOKUP(MAX(N$33:N$56),N$33:P$56,2,FALSE),VLOOKUP(P64,N33:P56,2,FALSE)))</f>
        <v>0.5363</v>
      </c>
      <c r="Q65" s="178">
        <f>IF(R90&lt;S90,R65,S65)</f>
        <v>-1.0249999999999999</v>
      </c>
      <c r="R65" s="176">
        <f>IF(Q64&lt;MIN(Q$33:Q$56),VLOOKUP(MIN(Q$33:Q$56),Q$33:S$56,2,FALSE),IF(Q64&gt;MAX(Q$33:Q$56),VLOOKUP(MAX(Q$33:Q$56),Q$33:S$56,2,FALSE),VLOOKUP(R64,Q$33:S$56,2,FALSE)))</f>
        <v>-1.0249999999999999</v>
      </c>
      <c r="S65" s="176">
        <f>IF(Q64&lt;MIN(Q$33:Q$56),VLOOKUP(MIN(Q$33:Q$56),Q$33:S$56,2,FALSE),IF(Q64&gt;MAX(Q$33:Q$56),VLOOKUP(MAX(Q$33:Q$56),Q$33:S$56,2,FALSE),VLOOKUP(S64,Q33:S56,2,FALSE)))</f>
        <v>-1.0249999999999999</v>
      </c>
      <c r="T65" s="178">
        <f>IF(U90&lt;V90,U65,V65)</f>
        <v>0.19</v>
      </c>
      <c r="U65" s="176">
        <f>IF(T64&lt;MIN(T$33:T$56),VLOOKUP(MIN(T$33:T$56),T$33:V$56,2,FALSE),IF(T64&gt;MAX(T$33:T$56),VLOOKUP(MAX(T$33:T$56),T$33:V$56,2,FALSE),VLOOKUP(U64,T$33:V$56,2,FALSE)))</f>
        <v>0.19</v>
      </c>
      <c r="V65" s="176">
        <f>IF(T64&lt;MIN(T$33:T$56),VLOOKUP(MIN(T$33:T$56),T$33:V$56,2,FALSE),IF(T64&gt;MAX(T$33:T$56),VLOOKUP(MAX(T$33:T$56),T$33:V$56,2,FALSE),VLOOKUP(V64,T33:V56,2,FALSE)))</f>
        <v>0.19</v>
      </c>
      <c r="W65" s="178" t="e">
        <f>IF(W64&lt;=MIN(W$33:W$56),VLOOKUP(MIN(W$33:W$56),W$33:Y$56,2,FALSE),IF(W64&gt;=MAX(W$33:W$56),VLOOKUP(MAX(W$33:W$56),W$33:Y$56,2,FALSE),X65+((#REF!-X64)/(Y64-X64))*(Y65-X65)))</f>
        <v>#N/A</v>
      </c>
      <c r="X65" s="177" t="e">
        <f>IF(W64&lt;MIN(W$33:W$56),VLOOKUP(MIN(W$33:W$56),W$33:Y$56,2,FALSE),IF(W64&gt;MAX(W$33:W$56),VLOOKUP(MAX(W$33:W$56),W$33:Y$56,2,FALSE),VLOOKUP(X64,W$33:Y$56,2,FALSE)))</f>
        <v>#N/A</v>
      </c>
      <c r="Y65" s="158" t="e">
        <f>IF(W64&lt;MIN(W$33:W$56),VLOOKUP(MIN(W$33:W$56),W$33:Y$56,2,FALSE),IF(W64&gt;MAX(W$33:W$56),VLOOKUP(MAX(W$33:W$56),W$33:Y$56,2,FALSE),VLOOKUP(Y64,W33:Y56,2,FALSE)))</f>
        <v>#N/A</v>
      </c>
      <c r="Z65" s="178">
        <f>IF($AA$90&lt;$AB$90,AA65,AB65)</f>
        <v>0</v>
      </c>
      <c r="AA65" s="158">
        <f>IF(Z64&lt;MIN(Z$33:Z$56),VLOOKUP(MIN(Z$33:Z$56),Z$33:AB$56,2,FALSE),IF(Z64&gt;MAX(Z$33:Z$56),VLOOKUP(MAX(Z$33:Z$56),Z$33:AB$56,2,FALSE),VLOOKUP(AA64,Z$33:AB$56,2,FALSE)))</f>
        <v>0</v>
      </c>
      <c r="AB65" s="158">
        <f>IF(Z64&lt;MIN(Z$33:Z$56),VLOOKUP(MIN(Z$33:Z$56),Z$33:AB$56,2,FALSE),IF(Z64&gt;MAX(Z$33:Z$56),VLOOKUP(MAX(Z$33:Z$56),Z$33:AB$56,2,FALSE),VLOOKUP(AB64,Z33:AB56,2,FALSE)))</f>
        <v>0</v>
      </c>
      <c r="AC65" s="178">
        <f>IF($AD$90&lt;$AE$90,AD65,AE65)</f>
        <v>0</v>
      </c>
      <c r="AD65" s="158">
        <f>IF(AC64&lt;MIN(AC$33:AC$56),VLOOKUP(MIN(AC$33:AC$56),AC$33:AE$56,2,FALSE),IF(AC64&gt;MAX(AC$33:AC$56),VLOOKUP(MAX(AC$33:AC$56),AC$33:AE$56,2,FALSE),VLOOKUP(AD64,AC$33:AE$56,2,FALSE)))</f>
        <v>0</v>
      </c>
      <c r="AE65" s="158">
        <f>IF(AC64&lt;MIN(AC$33:AC$56),VLOOKUP(MIN(AC$33:AC$56),AC$33:AE$56,2,FALSE),IF(AC64&gt;MAX(AC$33:AC$56),VLOOKUP(MAX(AC$33:AC$56),AC$33:AE$56,2,FALSE),VLOOKUP(AE64,AC33:AE56,2,FALSE)))</f>
        <v>0</v>
      </c>
      <c r="AF65" s="178">
        <f>IF($AG$90&lt;$AH$90,AG65,AH65)</f>
        <v>0</v>
      </c>
      <c r="AG65" s="158">
        <f>IF(AF64&lt;MIN(AF$33:AF$56),VLOOKUP(MIN(AF$33:AF$56),AF$33:AH$56,2,FALSE),IF(AF64&gt;MAX(AF$33:AF$56),VLOOKUP(MAX(AF$33:AF$56),AF$33:AH$56,2,FALSE),VLOOKUP(AG64,AF$33:AH$56,2,FALSE)))</f>
        <v>0</v>
      </c>
      <c r="AH65" s="158">
        <f>IF(AF64&lt;MIN(AF$33:AF$56),VLOOKUP(MIN(AF$33:AF$56),AF$33:AH$56,2,FALSE),IF(AF64&gt;MAX(AF$33:AF$56),VLOOKUP(MAX(AF$33:AF$56),AF$33:AH$56,2,FALSE),VLOOKUP(AH64,AF33:AH56,2,FALSE)))</f>
        <v>0</v>
      </c>
      <c r="AI65" s="178">
        <f>IF($AG$90&lt;$AH$90,AJ65,AK65)</f>
        <v>0</v>
      </c>
      <c r="AJ65" s="158">
        <f>IF(AI64&lt;MIN(AI$33:AI$56),VLOOKUP(MIN(AI$33:AI$56),AI$33:AK$56,2,FALSE),IF(AI64&gt;MAX(AI$33:AI$56),VLOOKUP(MAX(AI$33:AI$56),AI$33:AK$56,2,FALSE),VLOOKUP(AJ64,AI$33:AK$56,2,FALSE)))</f>
        <v>0</v>
      </c>
      <c r="AK65" s="158">
        <f>IF(AI64&lt;MIN(AI$33:AI$56),VLOOKUP(MIN(AI$33:AI$56),AI$33:AK$56,2,FALSE),IF(AI64&gt;MAX(AI$33:AI$56),VLOOKUP(MAX(AI$33:AI$56),AI$33:AK$56,2,FALSE),VLOOKUP(AK64,AI33:AK56,2,FALSE)))</f>
        <v>0</v>
      </c>
      <c r="AL65" s="178">
        <f>IF($AG$90&lt;$AH$90,AM65,AN65)</f>
        <v>0.153</v>
      </c>
      <c r="AM65" s="158">
        <f>IF(AL64&lt;MIN(AL$33:AL$56),VLOOKUP(MIN(AL$33:AL$56),AL$33:AN$56,2,FALSE),IF(AL64&gt;MAX(AL$33:AL$56),VLOOKUP(MAX(AL$33:AL$56),AL$33:AN$56,2,FALSE),VLOOKUP(AM64,AL$33:AN$56,2,FALSE)))</f>
        <v>0.153</v>
      </c>
      <c r="AN65" s="158">
        <f>IF(AL64&lt;MIN(AL$33:AL$56),VLOOKUP(MIN(AL$33:AL$56),AL$33:AN$56,2,FALSE),IF(AL64&gt;MAX(AL$33:AL$56),VLOOKUP(MAX(AL$33:AL$56),AL$33:AN$56,2,FALSE),VLOOKUP(AN64,AL33:AN56,2,FALSE)))</f>
        <v>0.153</v>
      </c>
      <c r="AO65" s="178">
        <f>IF($AG$90&lt;$AH$90,AP65,AQ65)</f>
        <v>-0.2</v>
      </c>
      <c r="AP65" s="158">
        <f>IF(AO64&lt;MIN(AO$33:AO$56),VLOOKUP(MIN(AO$33:AO$56),AO$33:AQ$56,2,FALSE),IF(AO64&gt;MAX(AO$33:AO$56),VLOOKUP(MAX(AO$33:AO$56),AO$33:AQ$56,2,FALSE),VLOOKUP(AP64,AO$33:AQ$56,2,FALSE)))</f>
        <v>-0.2</v>
      </c>
      <c r="AQ65" s="158">
        <f>IF(AO64&lt;MIN(AO$33:AO$56),VLOOKUP(MIN(AO$33:AO$56),AO$33:AQ$56,2,FALSE),IF(AO64&gt;MAX(AO$33:AO$56),VLOOKUP(MAX(AO$33:AO$56),AO$33:AQ$56,2,FALSE),VLOOKUP(AQ64,AO33:AQ56,2,FALSE)))</f>
        <v>-0.2</v>
      </c>
      <c r="AR65" s="178">
        <f>IF($AG$90&lt;$AH$90,AS65,AT65)</f>
        <v>-0.1</v>
      </c>
      <c r="AS65" s="158">
        <f>IF(AR64&lt;MIN(AR$33:AR$56),VLOOKUP(MIN(AR$33:AR$56),AR$33:AT$56,2,FALSE),IF(AR64&gt;MAX(AR$33:AR$56),VLOOKUP(MAX(AR$33:AR$56),AR$33:AT$56,2,FALSE),VLOOKUP(AS64,AR$33:AT$56,2,FALSE)))</f>
        <v>-0.1</v>
      </c>
      <c r="AT65" s="158">
        <f>IF(AR64&lt;MIN(AR$33:AR$56),VLOOKUP(MIN(AR$33:AR$56),AR$33:AT$56,2,FALSE),IF(AR64&gt;MAX(AR$33:AR$56),VLOOKUP(MAX(AR$33:AR$56),AR$33:AT$56,2,FALSE),VLOOKUP(AT64,AR33:AT56,2,FALSE)))</f>
        <v>-0.1</v>
      </c>
      <c r="AU65" s="178">
        <f>IF($AG$90&lt;$AH$90,AV65,AW65)</f>
        <v>0.03</v>
      </c>
      <c r="AV65" s="158">
        <f>IF(AU64&lt;MIN(AU$33:AU$56),VLOOKUP(MIN(AU$33:AU$56),AU$33:AW$56,2,FALSE),IF(AU64&gt;MAX(AU$33:AU$56),VLOOKUP(MAX(AU$33:AU$56),AU$33:AW$56,2,FALSE),VLOOKUP(AV64,AU$33:AW$56,2,FALSE)))</f>
        <v>0.03</v>
      </c>
      <c r="AW65" s="158">
        <f>IF(AU64&lt;MIN(AU$33:AU$56),VLOOKUP(MIN(AU$33:AU$56),AU$33:AW$56,2,FALSE),IF(AU64&gt;MAX(AU$33:AU$56),VLOOKUP(MAX(AU$33:AU$56),AU$33:AW$56,2,FALSE),VLOOKUP(AW64,AU33:AW56,2,FALSE)))</f>
        <v>0.03</v>
      </c>
      <c r="AX65" s="178">
        <f>IF($AG$90&lt;$AH$90,AY65,AZ65)</f>
        <v>7.0000000000000007E-2</v>
      </c>
      <c r="AY65" s="158">
        <f>IF(AX64&lt;MIN(AX$33:AX$56),VLOOKUP(MIN(AX$33:AX$56),AX$33:AZ$56,2,FALSE),IF(AX64&gt;MAX(AX$33:AX$56),VLOOKUP(MAX(AX$33:AX$56),AX$33:AZ$56,2,FALSE),VLOOKUP(AY64,AX$33:AZ$56,2,FALSE)))</f>
        <v>7.0000000000000007E-2</v>
      </c>
      <c r="AZ65" s="158">
        <f>IF(AX64&lt;MIN(AX$33:AX$56),VLOOKUP(MIN(AX$33:AX$56),AX$33:AZ$56,2,FALSE),IF(AX64&gt;MAX(AX$33:AX$56),VLOOKUP(MAX(AX$33:AX$56),AX$33:AZ$56,2,FALSE),VLOOKUP(AZ64,AX33:AZ56,2,FALSE)))</f>
        <v>7.0000000000000007E-2</v>
      </c>
    </row>
    <row r="66" spans="1:52" x14ac:dyDescent="0.25">
      <c r="A66" s="150" t="s">
        <v>30</v>
      </c>
      <c r="B66" s="178" t="str">
        <f>IF(B64="","0",IF($C$90&lt;$D$90,$C$66,$D$66))</f>
        <v>0</v>
      </c>
      <c r="C66" s="158">
        <f>IF(B64&lt;MIN(B$33:B$56),VLOOKUP(MIN(B$33:B$56),B$33:D$56,3,FALSE),IF(B64&gt;MAX(B$33:B$56),VLOOKUP(MAX(B$33:B$56),B$33:D$56,3,FALSE),VLOOKUP(C64,B$33:D$56,3,FALSE)))</f>
        <v>4.2000000000000003E-2</v>
      </c>
      <c r="D66" s="158">
        <f>IF(B64&lt;MIN(B$33:B$56),VLOOKUP(MIN(B$33:B$56),B$33:D$56,3,FALSE),IF(B64&gt;MAX(B$33:B$56),VLOOKUP(MAX(B$33:B$56),B$33:D$56,3,FALSE),VLOOKUP(D64,B$33:D$56,3,FALSE)))</f>
        <v>4.2000000000000003E-2</v>
      </c>
      <c r="E66" s="178" t="str">
        <f>IF(E64="","0",IF(F90&lt;G90,F66,G66))</f>
        <v>0</v>
      </c>
      <c r="F66" s="158">
        <f>IF(E64&lt;MIN(E$33:E$56),VLOOKUP(MIN(E$33:E$56),E$33:G$56,3,FALSE),IF(E64&gt;MAX(E$33:E$56),VLOOKUP(MAX(E$33:E$56),E$33:G$56,3,FALSE),VLOOKUP(F64,E$33:G$56,3,FALSE)))</f>
        <v>3.1E-2</v>
      </c>
      <c r="G66" s="158">
        <f>IF(E64&lt;MIN(E$33:E$56),VLOOKUP(MIN(E$33:E$56),E$33:G$56,3,FALSE),IF(E64&gt;MAX(E$33:E$56),VLOOKUP(MAX(E$33:E$56),E$33:G$56,3,FALSE),VLOOKUP(G64,E$33:G$56,3,FALSE)))</f>
        <v>3.1E-2</v>
      </c>
      <c r="H66" s="178" t="str">
        <f>IF(H64="","0",IF(I90&lt;J90,I66,J66))</f>
        <v>0</v>
      </c>
      <c r="I66" s="158">
        <f>IF(H64&lt;MIN(H$33:H$56),VLOOKUP(MIN(H$33:H$56),H$33:J$56,3,FALSE),IF(H64&gt;MAX(H$33:H$56),VLOOKUP(MAX(H$33:H$56),H$33:J$56,3,FALSE),VLOOKUP(I64,H$33:J$56,3,FALSE)))</f>
        <v>0.11</v>
      </c>
      <c r="J66" s="158">
        <f>IF(H64&lt;MIN(H$33:H$56),VLOOKUP(MIN(H$33:H$56),H$33:J$56,3,FALSE),IF(H64&gt;MAX(H$33:H$56),VLOOKUP(MAX(H$33:H$56),H$33:J$56,3,FALSE),VLOOKUP(J64,H$33:J$56,3,FALSE)))</f>
        <v>0.11</v>
      </c>
      <c r="K66" s="178" t="str">
        <f>IF(K64="","0",IF(L90&lt;M90,L66,M66))</f>
        <v>0</v>
      </c>
      <c r="L66" s="158">
        <f>IF(K64&lt;MIN(K$33:K$56),VLOOKUP(MIN(K$33:K$56),K$33:M$56,3,FALSE),IF(K64&gt;MAX(K$33:K$56),VLOOKUP(MAX(K$33:K$56),K$33:M$56,3,FALSE),VLOOKUP(L64,K$33:M$56,3,FALSE)))</f>
        <v>0.54</v>
      </c>
      <c r="M66" s="158">
        <f>IF(K64&lt;MIN(K$33:K$56),VLOOKUP(MIN(K$33:K$56),K$33:M$56,3,FALSE),IF(K64&gt;MAX(K$33:K$56),VLOOKUP(MAX(K$33:K$56),K$33:M$56,3,FALSE),VLOOKUP(M64,K$33:M$56,3,FALSE)))</f>
        <v>0.54</v>
      </c>
      <c r="N66" s="178" t="str">
        <f>IF(N64="","0",IF(O90&lt;P90,O66,P66))</f>
        <v>0</v>
      </c>
      <c r="O66" s="176">
        <f>IF(N64&lt;MIN(N$33:N$56),VLOOKUP(MIN(N$33:N$56),N$33:P$56,3,FALSE),IF(N64&gt;MAX(N$33:N$56),VLOOKUP(MAX(N$33:N$56),N$33:P$56,3,FALSE),VLOOKUP(O64,N$33:P$56,3,FALSE)))</f>
        <v>2.1000000000000001E-2</v>
      </c>
      <c r="P66" s="176">
        <f>IF(N64&lt;MIN(N$33:N$56),VLOOKUP(MIN(N$33:N$56),N$33:P$56,3,FALSE),IF(N64&gt;MAX(N$33:N$56),VLOOKUP(MAX(N$33:N$56),N$33:P$56,3,FALSE),VLOOKUP(P64,N$33:P$56,3,FALSE)))</f>
        <v>2.1000000000000001E-2</v>
      </c>
      <c r="Q66" s="178" t="str">
        <f>IF(Q64="","0",IF(R90&lt;S90,R66,S66))</f>
        <v>0</v>
      </c>
      <c r="R66" s="176">
        <f>IF(Q64&lt;MIN(Q$33:Q$56),VLOOKUP(MIN(Q$33:Q$56),Q$33:S$56,3,FALSE),IF(Q64&gt;MAX(Q$33:Q$56),VLOOKUP(MAX(Q$33:Q$56),Q$33:S$56,3,FALSE),VLOOKUP(R64,Q$33:S$56,3,FALSE)))</f>
        <v>6.2E-2</v>
      </c>
      <c r="S66" s="176">
        <f>IF(Q64&lt;MIN(Q$33:Q$56),VLOOKUP(MIN(Q$33:Q$56),Q$33:S$56,3,FALSE),IF(Q64&gt;MAX(Q$33:Q$56),VLOOKUP(MAX(Q$33:Q$56),Q$33:S$56,3,FALSE),VLOOKUP(S64,Q$33:S$56,3,FALSE)))</f>
        <v>6.2E-2</v>
      </c>
      <c r="T66" s="178" t="str">
        <f>IF(T64="","0",IF(U90&lt;V90,U66,V66))</f>
        <v>0</v>
      </c>
      <c r="U66" s="176">
        <f>IF(T64&lt;MIN(T$33:T$56),VLOOKUP(MIN(T$33:T$56),T$33:V$56,3,FALSE),IF(T64&gt;MAX(T$33:T$56),VLOOKUP(MAX(T$33:T$56),T$33:V$56,3,FALSE),VLOOKUP(U64,T$33:V$56,3,FALSE)))</f>
        <v>0.14199999999999999</v>
      </c>
      <c r="V66" s="176">
        <f>IF(T64&lt;MIN(T$33:T$56),VLOOKUP(MIN(T$33:T$56),T$33:V$56,3,FALSE),IF(T64&gt;MAX(T$33:T$56),VLOOKUP(MAX(T$33:T$56),T$33:V$56,3,FALSE),VLOOKUP(V64,T$33:V$56,3,FALSE)))</f>
        <v>0.14199999999999999</v>
      </c>
      <c r="W66" s="178" t="e">
        <f>IF(W64&lt;=MIN(W$33:W$56),VLOOKUP(MIN(W$33:W$56),W$33:Y$56,3,FALSE),IF(W64&gt;=MAX(W$33:W$56),VLOOKUP(MAX(W$33:W$56),W$33:Y$56,3,FALSE),X66+((#REF!-X64)/(Y64-X64))*(Y66-X66)))</f>
        <v>#N/A</v>
      </c>
      <c r="X66" s="177" t="e">
        <f>IF(W64&lt;MIN(W$33:W$56),VLOOKUP(MIN(W$33:W$56),W$33:Y$56,3,FALSE),IF(W64&gt;MAX(W$33:W$56),VLOOKUP(MAX(W$33:W$56),W$33:Y$56,3,FALSE),VLOOKUP(X64,W$33:Y$56,3,FALSE)))</f>
        <v>#N/A</v>
      </c>
      <c r="Y66" s="158" t="e">
        <f>IF(W64&lt;MIN(W$33:W$56),VLOOKUP(MIN(W$33:W$56),W$33:Y$56,3,FALSE),IF(W64&gt;MAX(W$33:W$56),VLOOKUP(MAX(W$33:W$56),W$33:Y$56,3,FALSE),VLOOKUP(Y64,W$33:Y$56,3,FALSE)))</f>
        <v>#N/A</v>
      </c>
      <c r="Z66" s="178" t="str">
        <f>IF(Z64="","0",IF(AA90&lt;AB90,AA66,AB66))</f>
        <v>0</v>
      </c>
      <c r="AA66" s="158">
        <f>IF(Z64&lt;MIN(Z$33:Z$56),VLOOKUP(MIN(Z$33:Z$56),Z$33:AB$56,3,FALSE),IF(Z64&gt;MAX(Z$33:Z$56),VLOOKUP(MAX(Z$33:Z$56),Z$33:AB$56,3,FALSE),VLOOKUP(AA64,Z$33:AB$56,3,FALSE)))</f>
        <v>0.13</v>
      </c>
      <c r="AB66" s="158">
        <f>IF(Z64&lt;MIN(Z$33:Z$56),VLOOKUP(MIN(Z$33:Z$56),Z$33:AB$56,3,FALSE),IF(Z64&gt;MAX(Z$33:Z$56),VLOOKUP(MAX(Z$33:Z$56),Z$33:AB$56,3,FALSE),VLOOKUP(AB64,Z$33:AB$56,3,FALSE)))</f>
        <v>0.13</v>
      </c>
      <c r="AC66" s="178" t="str">
        <f>IF(AC64="","0",IF(AD90&lt;AE90,AD66,AE66))</f>
        <v>0</v>
      </c>
      <c r="AD66" s="158">
        <f>IF(AC64&lt;MIN(AC$33:AC$56),VLOOKUP(MIN(AC$33:AC$56),AC$33:AE$56,3,FALSE),IF(AC64&gt;MAX(AC$33:AC$56),VLOOKUP(MAX(AC$33:AC$56),AC$33:AE$56,3,FALSE),VLOOKUP(AD64,AC$33:AE$56,3,FALSE)))</f>
        <v>0.13</v>
      </c>
      <c r="AE66" s="158">
        <f>IF(AC64&lt;MIN(AC$33:AC$56),VLOOKUP(MIN(AC$33:AC$56),AC$33:AE$56,3,FALSE),IF(AC64&gt;MAX(AC$33:AC$56),VLOOKUP(MAX(AC$33:AC$56),AC$33:AE$56,3,FALSE),VLOOKUP(AE64,AC$33:AE$56,3,FALSE)))</f>
        <v>0.13</v>
      </c>
      <c r="AF66" s="178" t="str">
        <f>IF(AF64="","0",IF(AG90&lt;AH90,AG66,AH66))</f>
        <v>0</v>
      </c>
      <c r="AG66" s="158">
        <f>IF(AF64&lt;MIN(AF$33:AF$56),VLOOKUP(MIN(AF$33:AF$56),AF$33:AH$56,3,FALSE),IF(AF64&gt;MAX(AF$33:AF$56),VLOOKUP(MAX(AF$33:AF$56),AF$33:AH$56,3,FALSE),VLOOKUP(AG64,AF$33:AH$56,3,FALSE)))</f>
        <v>0.13</v>
      </c>
      <c r="AH66" s="158">
        <f>IF(AF64&lt;MIN(AF$33:AF$56),VLOOKUP(MIN(AF$33:AF$56),AF$33:AH$56,3,FALSE),IF(AF64&gt;MAX(AF$33:AF$56),VLOOKUP(MAX(AF$33:AF$56),AF$33:AH$56,3,FALSE),VLOOKUP(AH64,AF$33:AH$56,3,FALSE)))</f>
        <v>0.13</v>
      </c>
      <c r="AI66" s="178" t="str">
        <f>IF(AI64="","0",IF(AJ90&lt;AK90,AJ66,AK66))</f>
        <v>0</v>
      </c>
      <c r="AJ66" s="158">
        <f>IF(AI64&lt;MIN(AI$33:AI$56),VLOOKUP(MIN(AI$33:AI$56),AI$33:AK$56,3,FALSE),IF(AI64&gt;MAX(AI$33:AI$56),VLOOKUP(MAX(AI$33:AI$56),AI$33:AK$56,3,FALSE),VLOOKUP(AJ64,AI$33:AK$56,3,FALSE)))</f>
        <v>0.13</v>
      </c>
      <c r="AK66" s="158">
        <f>IF(AI64&lt;MIN(AI$33:AI$56),VLOOKUP(MIN(AI$33:AI$56),AI$33:AK$56,3,FALSE),IF(AI64&gt;MAX(AI$33:AI$56),VLOOKUP(MAX(AI$33:AI$56),AI$33:AK$56,3,FALSE),VLOOKUP(AK64,AI$33:AK$56,3,FALSE)))</f>
        <v>0.13</v>
      </c>
      <c r="AL66" s="178" t="str">
        <f>IF(AL64="","0",IF(AM90&lt;AN90,AM66,AN66))</f>
        <v>0</v>
      </c>
      <c r="AM66" s="158">
        <f>IF(AL64&lt;MIN(AL$33:AL$56),VLOOKUP(MIN(AL$33:AL$56),AL$33:AN$56,3,FALSE),IF(AL64&gt;MAX(AL$33:AL$56),VLOOKUP(MAX(AL$33:AL$56),AL$33:AN$56,3,FALSE),VLOOKUP(AM64,AL$33:AN$56,3,FALSE)))</f>
        <v>0.153</v>
      </c>
      <c r="AN66" s="158">
        <f>IF(AL64&lt;MIN(AL$33:AL$56),VLOOKUP(MIN(AL$33:AL$56),AL$33:AN$56,3,FALSE),IF(AL64&gt;MAX(AL$33:AL$56),VLOOKUP(MAX(AL$33:AL$56),AL$33:AN$56,3,FALSE),VLOOKUP(AN64,AL$33:AN$56,3,FALSE)))</f>
        <v>0.153</v>
      </c>
      <c r="AO66" s="178" t="str">
        <f>IF(AO64="","0",IF(AP90&lt;AQ90,AP66,AQ66))</f>
        <v>0</v>
      </c>
      <c r="AP66" s="158">
        <f>IF(AO64&lt;MIN(AO$33:AO$56),VLOOKUP(MIN(AO$33:AO$56),AO$33:AQ$56,3,FALSE),IF(AO64&gt;MAX(AO$33:AO$56),VLOOKUP(MAX(AO$33:AO$56),AO$33:AQ$56,3,FALSE),VLOOKUP(AP64,AO$33:AQ$56,3,FALSE)))</f>
        <v>0.54</v>
      </c>
      <c r="AQ66" s="158">
        <f>IF(AO64&lt;MIN(AO$33:AO$56),VLOOKUP(MIN(AO$33:AO$56),AO$33:AQ$56,3,FALSE),IF(AO64&gt;MAX(AO$33:AO$56),VLOOKUP(MAX(AO$33:AO$56),AO$33:AQ$56,3,FALSE),VLOOKUP(AQ64,AO$33:AQ$56,3,FALSE)))</f>
        <v>0.54</v>
      </c>
      <c r="AR66" s="178" t="str">
        <f>IF(AR64="","0",IF(AS90&lt;AT90,AS66,AT66))</f>
        <v>0</v>
      </c>
      <c r="AS66" s="158">
        <f>IF(AR64&lt;MIN(AR$33:AR$56),VLOOKUP(MIN(AR$33:AR$56),AR$33:AT$56,3,FALSE),IF(AR64&gt;MAX(AR$33:AR$56),VLOOKUP(MAX(AR$33:AR$56),AR$33:AT$56,3,FALSE),VLOOKUP(AS64,AR$33:AT$56,3,FALSE)))</f>
        <v>0.54</v>
      </c>
      <c r="AT66" s="158">
        <f>IF(AR64&lt;MIN(AR$33:AR$56),VLOOKUP(MIN(AR$33:AR$56),AR$33:AT$56,3,FALSE),IF(AR64&gt;MAX(AR$33:AR$56),VLOOKUP(MAX(AR$33:AR$56),AR$33:AT$56,3,FALSE),VLOOKUP(AT64,AR$33:AT$56,3,FALSE)))</f>
        <v>0.54</v>
      </c>
      <c r="AU66" s="178" t="str">
        <f>IF(AU64="","0",IF(AV90&lt;AW90,AV66,AW66))</f>
        <v>0</v>
      </c>
      <c r="AV66" s="158">
        <f>IF(AU64&lt;MIN(AU$33:AU$56),VLOOKUP(MIN(AU$33:AU$56),AU$33:AW$56,3,FALSE),IF(AU64&gt;MAX(AU$33:AU$56),VLOOKUP(MAX(AU$33:AU$56),AU$33:AW$56,3,FALSE),VLOOKUP(AV64,AU$33:AW$56,3,FALSE)))</f>
        <v>0.1</v>
      </c>
      <c r="AW66" s="158">
        <f>IF(AU64&lt;MIN(AU$33:AU$56),VLOOKUP(MIN(AU$33:AU$56),AU$33:AW$56,3,FALSE),IF(AU64&gt;MAX(AU$33:AU$56),VLOOKUP(MAX(AU$33:AU$56),AU$33:AW$56,3,FALSE),VLOOKUP(AW64,AU$33:AW$56,3,FALSE)))</f>
        <v>0.1</v>
      </c>
      <c r="AX66" s="178" t="str">
        <f>IF(AX64="","0",IF(AY90&lt;AZ90,AY66,AZ66))</f>
        <v>0</v>
      </c>
      <c r="AY66" s="158">
        <f>IF(AX64&lt;MIN(AX$33:AX$56),VLOOKUP(MIN(AX$33:AX$56),AX$33:AZ$56,3,FALSE),IF(AX64&gt;MAX(AX$33:AX$56),VLOOKUP(MAX(AX$33:AX$56),AX$33:AZ$56,3,FALSE),VLOOKUP(AY64,AX$33:AZ$56,3,FALSE)))</f>
        <v>0.1</v>
      </c>
      <c r="AZ66" s="158">
        <f>IF(AX64&lt;MIN(AX$33:AX$56),VLOOKUP(MIN(AX$33:AX$56),AX$33:AZ$56,3,FALSE),IF(AX64&gt;MAX(AX$33:AX$56),VLOOKUP(MAX(AX$33:AX$56),AX$33:AZ$56,3,FALSE),VLOOKUP(AZ64,AX$33:AZ$56,3,FALSE)))</f>
        <v>0.1</v>
      </c>
    </row>
    <row r="67" spans="1:52" x14ac:dyDescent="0.25">
      <c r="A67" s="147">
        <v>4</v>
      </c>
      <c r="B67" s="175" t="str">
        <f>IF('datos crudos'!$R$27="","",'datos crudos'!$R$27)</f>
        <v/>
      </c>
      <c r="C67" s="158">
        <f>IF(B67&lt;MIN(B$33:B$56),MIN(B$33:B$56),IF(B67&gt;MAX(B$33:B$56),MAX(B$33:B$56),INDEX(B$33:B$56,VLOOKUP(B67,B$33:$BA$56,COLUMNS(B$3:$BA$3),TRUE),1)))</f>
        <v>399.31700000000001</v>
      </c>
      <c r="D67" s="158">
        <f>IF(B67&lt;MIN(B$33:B$56),MIN(B$33:B$56),IF(B67&gt;MAX(B$33:B$56),MAX(B$33:B$56),INDEX(B$33:B$56,VLOOKUP(B67,B$33:$BA$56,COLUMNS(B$3:$BA$3),TRUE)+1,1)))</f>
        <v>399.31700000000001</v>
      </c>
      <c r="E67" s="175" t="str">
        <f>B67</f>
        <v/>
      </c>
      <c r="F67" s="158">
        <f>IF(E67&lt;MIN(E$33:E$56),MIN(E$33:E$56),IF(E67&gt;MAX(E$33:E$56),MAX(E$33:E$56),INDEX(E$33:E$56,VLOOKUP(E67,E$33:$BA$56,COLUMNS(E$3:$BA$3),TRUE),1)))</f>
        <v>270.39999999999998</v>
      </c>
      <c r="G67" s="158">
        <f>IF(E67&lt;MIN(E$33:E$56),MIN(E$33:E$56),IF(E67&gt;MAX(E$33:E$56),MAX(E$33:E$56),INDEX(E$33:E$56,VLOOKUP(E67,E$33:$BA$56,COLUMNS(E$3:$BA$3),TRUE)+1,1)))</f>
        <v>270.39999999999998</v>
      </c>
      <c r="H67" s="175" t="str">
        <f>B67</f>
        <v/>
      </c>
      <c r="I67" s="158">
        <f>IF(H67&lt;MIN(H$33:H$56),MIN(H$33:H$56),IF(H67&gt;MAX(H$33:H$56),MAX(H$33:H$56),INDEX(H$33:H$56,VLOOKUP(H67,H$33:$BA$56,COLUMNS(H$3:$BA$3),TRUE),1)))</f>
        <v>400</v>
      </c>
      <c r="J67" s="158">
        <f>IF(H67&lt;MIN(H$33:H$56),MIN(H$33:H$56),IF(H67&gt;MAX(H$33:H$56),MAX(H$33:H$56),INDEX(H$33:H$56,VLOOKUP(H67,H$33:$BA$56,COLUMNS(H$3:$BA$3),TRUE)+1,1)))</f>
        <v>400</v>
      </c>
      <c r="K67" s="175" t="str">
        <f>E67</f>
        <v/>
      </c>
      <c r="L67" s="158">
        <f>IF(K67&lt;MIN(K$33:K$56),MIN(K$33:K$56),IF(K67&gt;MAX(K$33:K$56),MAX(K$33:K$56),INDEX(K$33:K$56,VLOOKUP(K67,K$33:$BA$56,COLUMNS(K$3:$BA$3),TRUE),1)))</f>
        <v>139.19999999999999</v>
      </c>
      <c r="M67" s="158">
        <f>IF(K67&lt;MIN(K$33:K$56),MIN(K$33:K$56),IF(K67&gt;MAX(K$33:K$56),MAX(K$33:K$56),INDEX(K$33:K$56,VLOOKUP(K67,K$33:$BA$56,COLUMNS(K$3:$BA$3),TRUE)+1,1)))</f>
        <v>139.19999999999999</v>
      </c>
      <c r="N67" s="175" t="str">
        <f>B67</f>
        <v/>
      </c>
      <c r="O67" s="176">
        <f>IF(N67&lt;MIN(N$33:N$56),MIN(N$33:N$56),IF(N67&gt;MAX(N$33:N$56),MAX(N$33:N$56),INDEX(N$33:N$56,VLOOKUP(N67,N$33:$BA$56,COLUMNS(N$3:$BA$3),TRUE),1)))</f>
        <v>398.86700000000002</v>
      </c>
      <c r="P67" s="176">
        <f>IF(N67&lt;MIN(N$33:N$56),MIN(N$33:N$56),IF(N67&gt;MAX(N$33:N$56),MAX(N$33:N$56),INDEX(N$33:N$56,VLOOKUP(N67,N$33:$BA$56,COLUMNS(N$3:$BA$3),TRUE)+1,1)))</f>
        <v>398.86700000000002</v>
      </c>
      <c r="Q67" s="175" t="str">
        <f>E67</f>
        <v/>
      </c>
      <c r="R67" s="176">
        <f>IF(Q67&lt;MIN(Q$33:Q$56),MIN(Q$33:Q$56),IF(Q67&gt;MAX(Q$33:Q$56),MAX(Q$33:Q$56),INDEX(Q$33:Q$56,VLOOKUP(Q67,Q$33:$BA$56,COLUMNS(Q$3:$BA$3),TRUE),1)))</f>
        <v>399.16</v>
      </c>
      <c r="S67" s="176">
        <f>IF(Q67&lt;MIN(Q$33:Q$56),MIN(Q$33:Q$56),IF(Q67&gt;MAX(Q$33:Q$56),MAX(Q$33:Q$56),INDEX(Q$33:Q$56,VLOOKUP(Q67,Q$33:$BA$56,COLUMNS(Q$3:$BA$3),TRUE)+1,1)))</f>
        <v>399.16</v>
      </c>
      <c r="T67" s="175" t="str">
        <f>H67</f>
        <v/>
      </c>
      <c r="U67" s="176">
        <f>IF(T67&lt;MIN(T$33:T$56),MIN(T$33:T$56),IF(T67&gt;MAX(T$33:T$56),MAX(T$33:T$56),INDEX(T$33:T$56,VLOOKUP(T67,T$33:$BA$56,COLUMNS(T$3:$BA$3),TRUE),1)))</f>
        <v>100.1</v>
      </c>
      <c r="V67" s="176">
        <f>IF(T67&lt;MIN(T$33:T$56),MIN(T$33:T$56),IF(T67&gt;MAX(T$33:T$56),MAX(T$33:T$56),INDEX(T$33:T$56,VLOOKUP(T67,T$33:$BA$56,COLUMNS(T$3:$BA$3),TRUE)+1,1)))</f>
        <v>100.1</v>
      </c>
      <c r="W67" s="175" t="str">
        <f>B67</f>
        <v/>
      </c>
      <c r="X67" s="177" t="e">
        <f>IF(W67&lt;MIN(W$33:W$56),MIN(W$33:W$56),IF(W67&gt;MAX(W$33:W$56),MAX(W$33:W$56),INDEX(W$33:W$56,VLOOKUP(W67,W$33:$BA$56,COLUMNS(W$3:$BA$3),TRUE),1)))</f>
        <v>#N/A</v>
      </c>
      <c r="Y67" s="158" t="e">
        <f>IF(W67&lt;MIN(W$33:W$56),MIN(W$33:W$56),IF(W67&gt;MAX(W$33:W$56),MAX(W$33:W$56),INDEX(W$33:W$56,VLOOKUP(W67,W$33:$BA$56,COLUMNS($A$3:W$3),TRUE)+1,1)))</f>
        <v>#N/A</v>
      </c>
      <c r="Z67" s="175" t="str">
        <f>B67</f>
        <v/>
      </c>
      <c r="AA67" s="158">
        <f>IF(Z67&lt;MIN(Z$33:Z$56),MIN(Z$33:Z$56),IF(Z67&gt;MAX(Z$33:Z$56),MAX(Z$33:Z$56),INDEX(Z$33:Z$56,VLOOKUP(Z67,Z$33:$BA$56,COLUMNS(Z$3:$BA$3),TRUE),1)))</f>
        <v>139.87</v>
      </c>
      <c r="AB67" s="158">
        <f>IF(Z67&lt;MIN(Z$33:Z$56),MIN(Z$33:Z$56),IF(Z67&gt;MAX(Z$33:Z$56),MAX(Z$33:Z$56),INDEX(Z$33:Z$56,VLOOKUP(Z67,Z$33:$BA$56,COLUMNS(Z$3:$BA$3),TRUE)+1,1)))</f>
        <v>139.87</v>
      </c>
      <c r="AC67" s="175" t="str">
        <f>B67</f>
        <v/>
      </c>
      <c r="AD67" s="158">
        <f>IF(AC67&lt;MIN(AC$33:AC$56),MIN(AC$33:AC$56),IF(AC67&gt;MAX(AC$33:AC$56),MAX(AC$33:AC$56),INDEX(AC$33:AC$56,VLOOKUP(AC67,AC$33:$BA$56,COLUMNS(AC$3:$BA$3),TRUE),1)))</f>
        <v>139.87</v>
      </c>
      <c r="AE67" s="158">
        <f>IF(AC67&lt;MIN(AC$33:AC$56),MIN(AC$33:AC$56),IF(AC67&gt;MAX(AC$33:AC$56),MAX(AC$33:AC$56),INDEX(AC$33:AC$56,VLOOKUP(AC67,AC$33:$BA$56,COLUMNS(AC$3:$BA$3),TRUE)+1,1)))</f>
        <v>139.87</v>
      </c>
      <c r="AF67" s="175" t="str">
        <f>B67</f>
        <v/>
      </c>
      <c r="AG67" s="158">
        <f>IF(AF67&lt;MIN(AF$33:AF$56),MIN(AF$33:AF$56),IF(AF67&gt;MAX(AF$33:AF$56),MAX(AF$33:AF$56),INDEX(AF$33:AF$56,VLOOKUP(AF67,AF$33:$BA$56,COLUMNS(AF$3:$BA$3),TRUE),1)))</f>
        <v>139.87</v>
      </c>
      <c r="AH67" s="158">
        <f>IF(AF67&lt;MIN(AF$33:AF$56),MIN(AF$33:AF$56),IF(AF67&gt;MAX(AF$33:AF$56),MAX(AF$33:AF$56),INDEX(AF$33:AF$56,VLOOKUP(AF67,AF$33:$BA$56,COLUMNS(AF$3:$BA$3),TRUE)+1,1)))</f>
        <v>139.87</v>
      </c>
      <c r="AI67" s="175" t="str">
        <f>E67</f>
        <v/>
      </c>
      <c r="AJ67" s="158">
        <f>IF(AI67&lt;MIN(AI$33:AI$56),MIN(AI$33:AI$56),IF(AI67&gt;MAX(AI$33:AI$56),MAX(AI$33:AI$56),INDEX(AI$33:AI$56,VLOOKUP(AI67,AI$33:$BA$56,COLUMNS(AI$3:$BA$3),TRUE),1)))</f>
        <v>139.88</v>
      </c>
      <c r="AK67" s="158">
        <f>IF(AI67&lt;MIN(AI$33:AI$56),MIN(AI$33:AI$56),IF(AI67&gt;MAX(AI$33:AI$56),MAX(AI$33:AI$56),INDEX(AI$33:AI$56,VLOOKUP(AI67,AI$33:$BA$56,COLUMNS(AI$3:$BA$3),TRUE)+1,1)))</f>
        <v>139.88</v>
      </c>
      <c r="AL67" s="175" t="str">
        <f>H67</f>
        <v/>
      </c>
      <c r="AM67" s="158">
        <f>IF(AL67&lt;MIN(AL$33:AL$56),MIN(AL$33:AL$56),IF(AL67&gt;MAX(AL$33:AL$56),MAX(AL$33:AL$56),INDEX(AL$33:AL$56,VLOOKUP(AL67,AL$33:$BA$56,COLUMNS(AL$3:$BA$3),TRUE),1)))</f>
        <v>300.2</v>
      </c>
      <c r="AN67" s="158">
        <f>IF(AL67&lt;MIN(AL$33:AL$56),MIN(AL$33:AL$56),IF(AL67&gt;MAX(AL$33:AL$56),MAX(AL$33:AL$56),INDEX(AL$33:AL$56,VLOOKUP(AL67,AL$33:$BA$56,COLUMNS(AL$3:$BA$3),TRUE)+1,1)))</f>
        <v>300.2</v>
      </c>
      <c r="AO67" s="175" t="str">
        <f>K67</f>
        <v/>
      </c>
      <c r="AP67" s="158">
        <f>IF(AO67&lt;MIN(AO$33:AO$56),MIN(AO$33:AO$56),IF(AO67&gt;MAX(AO$33:AO$56),MAX(AO$33:AO$56),INDEX(AO$33:AO$56,VLOOKUP(AO67,AO$33:$BA$56,COLUMNS(AO$3:$BA$3),TRUE),1)))</f>
        <v>139.80000000000001</v>
      </c>
      <c r="AQ67" s="158">
        <f>IF(AO67&lt;MIN(AO$33:AO$56),MIN(AO$33:AO$56),IF(AO67&gt;MAX(AO$33:AO$56),MAX(AO$33:AO$56),INDEX(AO$33:AO$56,VLOOKUP(AO67,AO$33:$BA$56,COLUMNS(AO$3:$BA$3),TRUE)+1,1)))</f>
        <v>139.80000000000001</v>
      </c>
      <c r="AR67" s="175" t="str">
        <f>N67</f>
        <v/>
      </c>
      <c r="AS67" s="158">
        <f>IF(AR67&lt;MIN(AR$33:AR$56),MIN(AR$33:AR$56),IF(AR67&gt;MAX(AR$33:AR$56),MAX(AR$33:AR$56),INDEX(AR$33:AR$56,VLOOKUP(AR67,AR$33:$BA$56,COLUMNS(AR$3:$BA$3),TRUE),1)))</f>
        <v>139.9</v>
      </c>
      <c r="AT67" s="158">
        <f>IF(AR67&lt;MIN(AR$33:AR$56),MIN(AR$33:AR$56),IF(AR67&gt;MAX(AR$33:AR$56),MAX(AR$33:AR$56),INDEX(AR$33:AR$56,VLOOKUP(AR67,AR$33:$BA$56,COLUMNS(AR$3:$BA$3),TRUE)+1,1)))</f>
        <v>139.9</v>
      </c>
      <c r="AU67" s="175" t="str">
        <f>Q67</f>
        <v/>
      </c>
      <c r="AV67" s="158">
        <f>IF(AU67&lt;MIN(AU$33:AU$56),MIN(AU$33:AU$56),IF(AU67&gt;MAX(AU$33:AU$56),MAX(AU$33:AU$56),INDEX(AU$33:AU$56,VLOOKUP(AU67,AU$33:$BA$56,COLUMNS(AU$3:$BA$3),TRUE),1)))</f>
        <v>40.33</v>
      </c>
      <c r="AW67" s="158">
        <f>IF(AU67&lt;MIN(AU$33:AU$56),MIN(AU$33:AU$56),IF(AU67&gt;MAX(AU$33:AU$56),MAX(AU$33:AU$56),INDEX(AU$33:AU$56,VLOOKUP(AU67,AU$33:$BA$56,COLUMNS(AU$3:$BA$3),TRUE)+1,1)))</f>
        <v>40.33</v>
      </c>
      <c r="AX67" s="175" t="str">
        <f>Q67</f>
        <v/>
      </c>
      <c r="AY67" s="158">
        <f>IF(AX67&lt;MIN(AX$33:AX$56),MIN(AX$33:AX$56),IF(AX67&gt;MAX(AX$33:AX$56),MAX(AX$33:AX$56),INDEX(AX$33:AX$56,VLOOKUP(AX67,AX$33:$BA$56,COLUMNS(AX$3:$BA$3),TRUE),1)))</f>
        <v>36.67</v>
      </c>
      <c r="AZ67" s="158">
        <f>IF(AX67&lt;MIN(AX$33:AX$56),MIN(AX$33:AX$56),IF(AX67&gt;MAX(AX$33:AX$56),MAX(AX$33:AX$56),INDEX(AX$33:AX$56,VLOOKUP(AX67,AX$33:$BA$56,COLUMNS(AX$3:$BA$3),TRUE)+1,1)))</f>
        <v>36.67</v>
      </c>
    </row>
    <row r="68" spans="1:52" x14ac:dyDescent="0.25">
      <c r="A68" s="150" t="s">
        <v>29</v>
      </c>
      <c r="B68" s="178">
        <f>IF(C91&lt;D91,C68,D68)</f>
        <v>0.54700000000000004</v>
      </c>
      <c r="C68" s="158">
        <f>IF(B67&lt;MIN(B$33:B$56),VLOOKUP(MIN(B$33:B$56),B$33:D$56,2,FALSE),IF(B67&gt;MAX(B$33:B$56),VLOOKUP(MAX(B$33:B$56),B$33:D$56,2,FALSE),VLOOKUP(C67,B$33:D$56,2,FALSE)))</f>
        <v>0.54700000000000004</v>
      </c>
      <c r="D68" s="158">
        <f>IF(B67&lt;MIN(B$33:B$56),VLOOKUP(MIN(B$33:B$56),B$33:D$56,2,FALSE),IF(B67&gt;MAX(B$33:B$56),VLOOKUP(MAX(B$33:B$56),B$33:D$56,2,FALSE),VLOOKUP(D67,B33:D56,2,FALSE)))</f>
        <v>0.54700000000000004</v>
      </c>
      <c r="E68" s="178">
        <f>IF($F$91&lt;$G$91,$F$68,$G$68)</f>
        <v>0.28799999999999998</v>
      </c>
      <c r="F68" s="158">
        <f>IF(E67&lt;MIN(E$33:E$56),VLOOKUP(MIN(E$33:E$56),E$33:G$56,2,FALSE),IF(E67&gt;MAX(E$33:E$56),VLOOKUP(MAX(E$33:E$56),E$33:G$56,2,FALSE),VLOOKUP(F67,E$33:G$56,2,FALSE)))</f>
        <v>0.28799999999999998</v>
      </c>
      <c r="G68" s="158">
        <f>IF(E67&lt;MIN(E$33:E$56),VLOOKUP(MIN(E$33:E$56),E$33:G$56,2,FALSE),IF(E67&gt;MAX(E$33:E$56),VLOOKUP(MAX(E$33:E$56),E$33:G$56,2,FALSE),VLOOKUP(G67,E33:G56,2,FALSE)))</f>
        <v>0.28799999999999998</v>
      </c>
      <c r="H68" s="178">
        <f>IF(I91&lt;J91,I68,J68)</f>
        <v>3.2000000000000001E-2</v>
      </c>
      <c r="I68" s="158">
        <f>IF(H67&lt;MIN(H$33:H$56),VLOOKUP(MIN(H$33:H$56),H$33:J$56,2,FALSE),IF(H67&gt;MAX(H$33:H$56),VLOOKUP(MAX(H$33:H$56),H$33:J$56,2,FALSE),VLOOKUP(I67,H$33:J$56,2,FALSE)))</f>
        <v>3.2000000000000001E-2</v>
      </c>
      <c r="J68" s="158">
        <f>IF(H67&lt;MIN(H$33:H$56),VLOOKUP(MIN(H$33:H$56),H$33:J$56,2,FALSE),IF(H67&gt;MAX(H$33:H$56),VLOOKUP(MAX(H$33:H$56),H$33:J$56,2,FALSE),VLOOKUP(J67,H33:J56,2,FALSE)))</f>
        <v>3.2000000000000001E-2</v>
      </c>
      <c r="K68" s="178">
        <f>IF(L91&lt;M91,L68,M68)</f>
        <v>-0.8</v>
      </c>
      <c r="L68" s="158">
        <f>IF(K67&lt;MIN(K$33:K$56),VLOOKUP(MIN(K$33:K$56),K$33:M$56,2,FALSE),IF(K67&gt;MAX(K$33:K$56),VLOOKUP(MAX(K$33:K$56),K$33:M$56,2,FALSE),VLOOKUP(L67,K$33:M$56,2,FALSE)))</f>
        <v>-0.8</v>
      </c>
      <c r="M68" s="158">
        <f>IF(K67&lt;MIN(K$33:K$56),VLOOKUP(MIN(K$33:K$56),K$33:M$56,2,FALSE),IF(K67&gt;MAX(K$33:K$56),VLOOKUP(MAX(K$33:K$56),K$33:M$56,2,FALSE),VLOOKUP(M67,K33:M56,2,FALSE)))</f>
        <v>-0.8</v>
      </c>
      <c r="N68" s="178">
        <f>IF(O91&lt;P91,O68,P68)</f>
        <v>0.5363</v>
      </c>
      <c r="O68" s="176">
        <f>IF(N67&lt;MIN(N$33:N$56),VLOOKUP(MIN(N$33:N$56),N$33:P$56,2,FALSE),IF(N67&gt;MAX(N$33:N$56),VLOOKUP(MAX(N$33:N$56),N$33:P$56,2,FALSE),VLOOKUP(O67,N$33:P$56,2,FALSE)))</f>
        <v>0.5363</v>
      </c>
      <c r="P68" s="176">
        <f>IF(N67&lt;MIN(N$33:N$56),VLOOKUP(MIN(N$33:N$56),N$33:P$56,2,FALSE),IF(N67&gt;MAX(N$33:N$56),VLOOKUP(MAX(N$33:N$56),N$33:P$56,2,FALSE),VLOOKUP(P67,N33:P56,2,FALSE)))</f>
        <v>0.5363</v>
      </c>
      <c r="Q68" s="178">
        <f>IF(R91&lt;S91,R68,S68)</f>
        <v>-1.0249999999999999</v>
      </c>
      <c r="R68" s="176">
        <f>IF(Q67&lt;MIN(Q$33:Q$56),VLOOKUP(MIN(Q$33:Q$56),Q$33:S$56,2,FALSE),IF(Q67&gt;MAX(Q$33:Q$56),VLOOKUP(MAX(Q$33:Q$56),Q$33:S$56,2,FALSE),VLOOKUP(R67,Q$33:S$56,2,FALSE)))</f>
        <v>-1.0249999999999999</v>
      </c>
      <c r="S68" s="176">
        <f>IF(Q67&lt;MIN(Q$33:Q$56),VLOOKUP(MIN(Q$33:Q$56),Q$33:S$56,2,FALSE),IF(Q67&gt;MAX(Q$33:Q$56),VLOOKUP(MAX(Q$33:Q$56),Q$33:S$56,2,FALSE),VLOOKUP(S67,Q33:S56,2,FALSE)))</f>
        <v>-1.0249999999999999</v>
      </c>
      <c r="T68" s="178">
        <f>IF(U91&lt;V91,U68,V68)</f>
        <v>0.19</v>
      </c>
      <c r="U68" s="176">
        <f>IF(T67&lt;MIN(T$33:T$56),VLOOKUP(MIN(T$33:T$56),T$33:V$56,2,FALSE),IF(T67&gt;MAX(T$33:T$56),VLOOKUP(MAX(T$33:T$56),T$33:V$56,2,FALSE),VLOOKUP(U67,T$33:V$56,2,FALSE)))</f>
        <v>0.19</v>
      </c>
      <c r="V68" s="176">
        <f>IF(T67&lt;MIN(T$33:T$56),VLOOKUP(MIN(T$33:T$56),T$33:V$56,2,FALSE),IF(T67&gt;MAX(T$33:T$56),VLOOKUP(MAX(T$33:T$56),T$33:V$56,2,FALSE),VLOOKUP(V67,T33:V56,2,FALSE)))</f>
        <v>0.19</v>
      </c>
      <c r="W68" s="178" t="e">
        <f>IF(W67&lt;=MIN(W$33:W$56),VLOOKUP(MIN(W$33:W$56),W$33:Y$56,2,FALSE),IF(W67&gt;=MAX(W$33:W$56),VLOOKUP(MAX(W$33:W$56),W$33:Y$56,2,FALSE),X68+((#REF!-X67)/(Y67-X67))*(Y68-X68)))</f>
        <v>#N/A</v>
      </c>
      <c r="X68" s="177" t="e">
        <f>IF(W67&lt;MIN(W$33:W$56),VLOOKUP(MIN(W$33:W$56),W$33:Y$56,2,FALSE),IF(W67&gt;MAX(W$33:W$56),VLOOKUP(MAX(W$33:W$56),W$33:Y$56,2,FALSE),VLOOKUP(X67,W$33:Y$56,2,FALSE)))</f>
        <v>#N/A</v>
      </c>
      <c r="Y68" s="158" t="e">
        <f>IF(W67&lt;MIN(W$33:W$56),VLOOKUP(MIN(W$33:W$56),W$33:Y$56,2,FALSE),IF(W67&gt;MAX(W$33:W$56),VLOOKUP(MAX(W$33:W$56),W$33:Y$56,2,FALSE),VLOOKUP(Y67,W33:Y56,2,FALSE)))</f>
        <v>#N/A</v>
      </c>
      <c r="Z68" s="178">
        <f>IF($AA$91&lt;$AB$91,AA68,AB68)</f>
        <v>0</v>
      </c>
      <c r="AA68" s="158">
        <f>IF(Z67&lt;MIN(Z$33:Z$56),VLOOKUP(MIN(Z$33:Z$56),Z$33:AB$56,2,FALSE),IF(Z67&gt;MAX(Z$33:Z$56),VLOOKUP(MAX(Z$33:Z$56),Z$33:AB$56,2,FALSE),VLOOKUP(AA67,Z$33:AB$56,2,FALSE)))</f>
        <v>0</v>
      </c>
      <c r="AB68" s="158">
        <f>IF(Z67&lt;MIN(Z$33:Z$56),VLOOKUP(MIN(Z$33:Z$56),Z$33:AB$56,2,FALSE),IF(Z67&gt;MAX(Z$33:Z$56),VLOOKUP(MAX(Z$33:Z$56),Z$33:AB$56,2,FALSE),VLOOKUP(AB67,Z33:AB56,2,FALSE)))</f>
        <v>0</v>
      </c>
      <c r="AC68" s="178">
        <f>IF($AD$91&lt;$AE$91,AD68,AE68)</f>
        <v>0</v>
      </c>
      <c r="AD68" s="158">
        <f>IF(AC67&lt;MIN(AC$33:AC$56),VLOOKUP(MIN(AC$33:AC$56),AC$33:AE$56,2,FALSE),IF(AC67&gt;MAX(AC$33:AC$56),VLOOKUP(MAX(AC$33:AC$56),AC$33:AE$56,2,FALSE),VLOOKUP(AD67,AC$33:AE$56,2,FALSE)))</f>
        <v>0</v>
      </c>
      <c r="AE68" s="158">
        <f>IF(AC67&lt;MIN(AC$33:AC$56),VLOOKUP(MIN(AC$33:AC$56),AC$33:AE$56,2,FALSE),IF(AC67&gt;MAX(AC$33:AC$56),VLOOKUP(MAX(AC$33:AC$56),AC$33:AE$56,2,FALSE),VLOOKUP(AE67,AC33:AE56,2,FALSE)))</f>
        <v>0</v>
      </c>
      <c r="AF68" s="178">
        <f>IF($AG$91&lt;$AH$91,AG68,AH68)</f>
        <v>0</v>
      </c>
      <c r="AG68" s="158">
        <f>IF(AF67&lt;MIN(AF$33:AF$56),VLOOKUP(MIN(AF$33:AF$56),AF$33:AH$56,2,FALSE),IF(AF67&gt;MAX(AF$33:AF$56),VLOOKUP(MAX(AF$33:AF$56),AF$33:AH$56,2,FALSE),VLOOKUP(AG67,AF$33:AH$56,2,FALSE)))</f>
        <v>0</v>
      </c>
      <c r="AH68" s="158">
        <f>IF(AF67&lt;MIN(AF$33:AF$56),VLOOKUP(MIN(AF$33:AF$56),AF$33:AH$56,2,FALSE),IF(AF67&gt;MAX(AF$33:AF$56),VLOOKUP(MAX(AF$33:AF$56),AF$33:AH$56,2,FALSE),VLOOKUP(AH67,AF33:AH56,2,FALSE)))</f>
        <v>0</v>
      </c>
      <c r="AI68" s="178">
        <f>IF($AG$91&lt;$AH$91,AJ68,AK68)</f>
        <v>0</v>
      </c>
      <c r="AJ68" s="158">
        <f>IF(AI67&lt;MIN(AI$33:AI$56),VLOOKUP(MIN(AI$33:AI$56),AI$33:AK$56,2,FALSE),IF(AI67&gt;MAX(AI$33:AI$56),VLOOKUP(MAX(AI$33:AI$56),AI$33:AK$56,2,FALSE),VLOOKUP(AJ67,AI$33:AK$56,2,FALSE)))</f>
        <v>0</v>
      </c>
      <c r="AK68" s="158">
        <f>IF(AI67&lt;MIN(AI$33:AI$56),VLOOKUP(MIN(AI$33:AI$56),AI$33:AK$56,2,FALSE),IF(AI67&gt;MAX(AI$33:AI$56),VLOOKUP(MAX(AI$33:AI$56),AI$33:AK$56,2,FALSE),VLOOKUP(AK67,AI33:AK56,2,FALSE)))</f>
        <v>0</v>
      </c>
      <c r="AL68" s="178">
        <f>IF($AG$91&lt;$AH$91,AM68,AN68)</f>
        <v>0.153</v>
      </c>
      <c r="AM68" s="158">
        <f>IF(AL67&lt;MIN(AL$33:AL$56),VLOOKUP(MIN(AL$33:AL$56),AL$33:AN$56,2,FALSE),IF(AL67&gt;MAX(AL$33:AL$56),VLOOKUP(MAX(AL$33:AL$56),AL$33:AN$56,2,FALSE),VLOOKUP(AM67,AL$33:AN$56,2,FALSE)))</f>
        <v>0.153</v>
      </c>
      <c r="AN68" s="158">
        <f>IF(AL67&lt;MIN(AL$33:AL$56),VLOOKUP(MIN(AL$33:AL$56),AL$33:AN$56,2,FALSE),IF(AL67&gt;MAX(AL$33:AL$56),VLOOKUP(MAX(AL$33:AL$56),AL$33:AN$56,2,FALSE),VLOOKUP(AN67,AL33:AN56,2,FALSE)))</f>
        <v>0.153</v>
      </c>
      <c r="AO68" s="178">
        <f>IF($AG$91&lt;$AH$91,AP68,AQ68)</f>
        <v>-0.2</v>
      </c>
      <c r="AP68" s="158">
        <f>IF(AO67&lt;MIN(AO$33:AO$56),VLOOKUP(MIN(AO$33:AO$56),AO$33:AQ$56,2,FALSE),IF(AO67&gt;MAX(AO$33:AO$56),VLOOKUP(MAX(AO$33:AO$56),AO$33:AQ$56,2,FALSE),VLOOKUP(AP67,AO$33:AQ$56,2,FALSE)))</f>
        <v>-0.2</v>
      </c>
      <c r="AQ68" s="158">
        <f>IF(AO67&lt;MIN(AO$33:AO$56),VLOOKUP(MIN(AO$33:AO$56),AO$33:AQ$56,2,FALSE),IF(AO67&gt;MAX(AO$33:AO$56),VLOOKUP(MAX(AO$33:AO$56),AO$33:AQ$56,2,FALSE),VLOOKUP(AQ67,AO33:AQ56,2,FALSE)))</f>
        <v>-0.2</v>
      </c>
      <c r="AR68" s="178">
        <f>IF($AG$91&lt;$AH$91,AS68,AT68)</f>
        <v>-0.1</v>
      </c>
      <c r="AS68" s="158">
        <f>IF(AR67&lt;MIN(AR$33:AR$56),VLOOKUP(MIN(AR$33:AR$56),AR$33:AT$56,2,FALSE),IF(AR67&gt;MAX(AR$33:AR$56),VLOOKUP(MAX(AR$33:AR$56),AR$33:AT$56,2,FALSE),VLOOKUP(AS67,AR$33:AT$56,2,FALSE)))</f>
        <v>-0.1</v>
      </c>
      <c r="AT68" s="158">
        <f>IF(AR67&lt;MIN(AR$33:AR$56),VLOOKUP(MIN(AR$33:AR$56),AR$33:AT$56,2,FALSE),IF(AR67&gt;MAX(AR$33:AR$56),VLOOKUP(MAX(AR$33:AR$56),AR$33:AT$56,2,FALSE),VLOOKUP(AT67,AR33:AT56,2,FALSE)))</f>
        <v>-0.1</v>
      </c>
      <c r="AU68" s="178">
        <f>IF($AG$91&lt;$AH$91,AV68,AW68)</f>
        <v>0.03</v>
      </c>
      <c r="AV68" s="158">
        <f>IF(AU67&lt;MIN(AU$33:AU$56),VLOOKUP(MIN(AU$33:AU$56),AU$33:AW$56,2,FALSE),IF(AU67&gt;MAX(AU$33:AU$56),VLOOKUP(MAX(AU$33:AU$56),AU$33:AW$56,2,FALSE),VLOOKUP(AV67,AU$33:AW$56,2,FALSE)))</f>
        <v>0.03</v>
      </c>
      <c r="AW68" s="158">
        <f>IF(AU67&lt;MIN(AU$33:AU$56),VLOOKUP(MIN(AU$33:AU$56),AU$33:AW$56,2,FALSE),IF(AU67&gt;MAX(AU$33:AU$56),VLOOKUP(MAX(AU$33:AU$56),AU$33:AW$56,2,FALSE),VLOOKUP(AW67,AU33:AW56,2,FALSE)))</f>
        <v>0.03</v>
      </c>
      <c r="AX68" s="178">
        <f>IF($AG$91&lt;$AH$91,AY68,AZ68)</f>
        <v>7.0000000000000007E-2</v>
      </c>
      <c r="AY68" s="158">
        <f>IF(AX67&lt;MIN(AX$33:AX$56),VLOOKUP(MIN(AX$33:AX$56),AX$33:AZ$56,2,FALSE),IF(AX67&gt;MAX(AX$33:AX$56),VLOOKUP(MAX(AX$33:AX$56),AX$33:AZ$56,2,FALSE),VLOOKUP(AY67,AX$33:AZ$56,2,FALSE)))</f>
        <v>7.0000000000000007E-2</v>
      </c>
      <c r="AZ68" s="158">
        <f>IF(AX67&lt;MIN(AX$33:AX$56),VLOOKUP(MIN(AX$33:AX$56),AX$33:AZ$56,2,FALSE),IF(AX67&gt;MAX(AX$33:AX$56),VLOOKUP(MAX(AX$33:AX$56),AX$33:AZ$56,2,FALSE),VLOOKUP(AZ67,AX33:AZ56,2,FALSE)))</f>
        <v>7.0000000000000007E-2</v>
      </c>
    </row>
    <row r="69" spans="1:52" x14ac:dyDescent="0.25">
      <c r="A69" s="150" t="s">
        <v>30</v>
      </c>
      <c r="B69" s="178" t="str">
        <f>IF(B67="","0",IF($C$91&lt;$D$91,$C$69,$D$69))</f>
        <v>0</v>
      </c>
      <c r="C69" s="158">
        <f>IF(B67&lt;MIN(B$33:B$56),VLOOKUP(MIN(B$33:B$56),B$33:D$56,3,FALSE),IF(B67&gt;MAX(B$33:B$56),VLOOKUP(MAX(B$33:B$56),B$33:D$56,3,FALSE),VLOOKUP(C67,B$33:D$56,3,FALSE)))</f>
        <v>4.2000000000000003E-2</v>
      </c>
      <c r="D69" s="158">
        <f>IF(B67&lt;MIN(B$33:B$56),VLOOKUP(MIN(B$33:B$56),B$33:D$56,3,FALSE),IF(B67&gt;MAX(B$33:B$56),VLOOKUP(MAX(B$33:B$56),B$33:D$56,3,FALSE),VLOOKUP(D67,B$33:D$56,3,FALSE)))</f>
        <v>4.2000000000000003E-2</v>
      </c>
      <c r="E69" s="178" t="str">
        <f>IF(E67="","0",IF(F91&lt;G91,F69,G69))</f>
        <v>0</v>
      </c>
      <c r="F69" s="158">
        <f>IF(E67&lt;MIN(E$33:E$56),VLOOKUP(MIN(E$33:E$56),E$33:G$56,3,FALSE),IF(E67&gt;MAX(E$33:E$56),VLOOKUP(MAX(E$33:E$56),E$33:G$56,3,FALSE),VLOOKUP(F67,E$33:G$56,3,FALSE)))</f>
        <v>3.1E-2</v>
      </c>
      <c r="G69" s="158">
        <f>IF(E67&lt;MIN(E$33:E$56),VLOOKUP(MIN(E$33:E$56),E$33:G$56,3,FALSE),IF(E67&gt;MAX(E$33:E$56),VLOOKUP(MAX(E$33:E$56),E$33:G$56,3,FALSE),VLOOKUP(G67,E$33:G$56,3,FALSE)))</f>
        <v>3.1E-2</v>
      </c>
      <c r="H69" s="178" t="str">
        <f>IF(H67="","0",IF(I91&lt;J91,I69,J69))</f>
        <v>0</v>
      </c>
      <c r="I69" s="158">
        <f>IF(H67&lt;MIN(H$33:H$56),VLOOKUP(MIN(H$33:H$56),H$33:J$56,3,FALSE),IF(H67&gt;MAX(H$33:H$56),VLOOKUP(MAX(H$33:H$56),H$33:J$56,3,FALSE),VLOOKUP(I67,H$33:J$56,3,FALSE)))</f>
        <v>0.11</v>
      </c>
      <c r="J69" s="158">
        <f>IF(H67&lt;MIN(H$33:H$56),VLOOKUP(MIN(H$33:H$56),H$33:J$56,3,FALSE),IF(H67&gt;MAX(H$33:H$56),VLOOKUP(MAX(H$33:H$56),H$33:J$56,3,FALSE),VLOOKUP(J67,H$33:J$56,3,FALSE)))</f>
        <v>0.11</v>
      </c>
      <c r="K69" s="178" t="str">
        <f>IF(K67="","0",IF(L91&lt;M91,L69,M69))</f>
        <v>0</v>
      </c>
      <c r="L69" s="158">
        <f>IF(K67&lt;MIN(K$33:K$56),VLOOKUP(MIN(K$33:K$56),K$33:M$56,3,FALSE),IF(K67&gt;MAX(K$33:K$56),VLOOKUP(MAX(K$33:K$56),K$33:M$56,3,FALSE),VLOOKUP(L67,K$33:M$56,3,FALSE)))</f>
        <v>0.54</v>
      </c>
      <c r="M69" s="158">
        <f>IF(K67&lt;MIN(K$33:K$56),VLOOKUP(MIN(K$33:K$56),K$33:M$56,3,FALSE),IF(K67&gt;MAX(K$33:K$56),VLOOKUP(MAX(K$33:K$56),K$33:M$56,3,FALSE),VLOOKUP(M67,K$33:M$56,3,FALSE)))</f>
        <v>0.54</v>
      </c>
      <c r="N69" s="178" t="str">
        <f>IF(N67="","0",IF(O91&lt;P91,O69,P69))</f>
        <v>0</v>
      </c>
      <c r="O69" s="176">
        <f>IF(N67&lt;MIN(N$33:N$56),VLOOKUP(MIN(N$33:N$56),N$33:P$56,3,FALSE),IF(N67&gt;MAX(N$33:N$56),VLOOKUP(MAX(N$33:N$56),N$33:P$56,3,FALSE),VLOOKUP(O67,N$33:P$56,3,FALSE)))</f>
        <v>2.1000000000000001E-2</v>
      </c>
      <c r="P69" s="176">
        <f>IF(N67&lt;MIN(N$33:N$56),VLOOKUP(MIN(N$33:N$56),N$33:P$56,3,FALSE),IF(N67&gt;MAX(N$33:N$56),VLOOKUP(MAX(N$33:N$56),N$33:P$56,3,FALSE),VLOOKUP(P67,N$33:P$56,3,FALSE)))</f>
        <v>2.1000000000000001E-2</v>
      </c>
      <c r="Q69" s="178" t="str">
        <f>IF(Q67="","0",IF(R91&lt;S91,R69,S69))</f>
        <v>0</v>
      </c>
      <c r="R69" s="176">
        <f>IF(Q67&lt;MIN(Q$33:Q$56),VLOOKUP(MIN(Q$33:Q$56),Q$33:S$56,3,FALSE),IF(Q67&gt;MAX(Q$33:Q$56),VLOOKUP(MAX(Q$33:Q$56),Q$33:S$56,3,FALSE),VLOOKUP(R67,Q$33:S$56,3,FALSE)))</f>
        <v>6.2E-2</v>
      </c>
      <c r="S69" s="176">
        <f>IF(Q67&lt;MIN(Q$33:Q$56),VLOOKUP(MIN(Q$33:Q$56),Q$33:S$56,3,FALSE),IF(Q67&gt;MAX(Q$33:Q$56),VLOOKUP(MAX(Q$33:Q$56),Q$33:S$56,3,FALSE),VLOOKUP(S67,Q$33:S$56,3,FALSE)))</f>
        <v>6.2E-2</v>
      </c>
      <c r="T69" s="178" t="str">
        <f>IF(T67="","0",IF(U91&lt;V91,U69,V69))</f>
        <v>0</v>
      </c>
      <c r="U69" s="176">
        <f>IF(T67&lt;MIN(T$33:T$56),VLOOKUP(MIN(T$33:T$56),T$33:V$56,3,FALSE),IF(T67&gt;MAX(T$33:T$56),VLOOKUP(MAX(T$33:T$56),T$33:V$56,3,FALSE),VLOOKUP(U67,T$33:V$56,3,FALSE)))</f>
        <v>0.14199999999999999</v>
      </c>
      <c r="V69" s="176">
        <f>IF(T67&lt;MIN(T$33:T$56),VLOOKUP(MIN(T$33:T$56),T$33:V$56,3,FALSE),IF(T67&gt;MAX(T$33:T$56),VLOOKUP(MAX(T$33:T$56),T$33:V$56,3,FALSE),VLOOKUP(V67,T$33:V$56,3,FALSE)))</f>
        <v>0.14199999999999999</v>
      </c>
      <c r="W69" s="178" t="e">
        <f>IF(W67&lt;=MIN(W$33:W$56),VLOOKUP(MIN(W$33:W$56),W$33:Y$56,3,FALSE),IF(W67&gt;=MAX(W$33:W$56),VLOOKUP(MAX(W$33:W$56),W$33:Y$56,3,FALSE),X69+((#REF!-X67)/(Y67-X67))*(Y69-X69)))</f>
        <v>#N/A</v>
      </c>
      <c r="X69" s="177" t="e">
        <f>IF(W67&lt;MIN(W$33:W$56),VLOOKUP(MIN(W$33:W$56),W$33:Y$56,3,FALSE),IF(W67&gt;MAX(W$33:W$56),VLOOKUP(MAX(W$33:W$56),W$33:Y$56,3,FALSE),VLOOKUP(X67,W$33:Y$56,3,FALSE)))</f>
        <v>#N/A</v>
      </c>
      <c r="Y69" s="158" t="e">
        <f>IF(W67&lt;MIN(W$33:W$56),VLOOKUP(MIN(W$33:W$56),W$33:Y$56,3,FALSE),IF(W67&gt;MAX(W$33:W$56),VLOOKUP(MAX(W$33:W$56),W$33:Y$56,3,FALSE),VLOOKUP(Y67,W$33:Y$56,3,FALSE)))</f>
        <v>#N/A</v>
      </c>
      <c r="Z69" s="178" t="str">
        <f>IF(Z67="","0",IF(AA91&lt;AB91,AA69,AB69))</f>
        <v>0</v>
      </c>
      <c r="AA69" s="158">
        <f>IF(Z67&lt;MIN(Z$33:Z$56),VLOOKUP(MIN(Z$33:Z$56),Z$33:AB$56,3,FALSE),IF(Z67&gt;MAX(Z$33:Z$56),VLOOKUP(MAX(Z$33:Z$56),Z$33:AB$56,3,FALSE),VLOOKUP(AA67,Z$33:AB$56,3,FALSE)))</f>
        <v>0.13</v>
      </c>
      <c r="AB69" s="158">
        <f>IF(Z67&lt;MIN(Z$33:Z$56),VLOOKUP(MIN(Z$33:Z$56),Z$33:AB$56,3,FALSE),IF(Z67&gt;MAX(Z$33:Z$56),VLOOKUP(MAX(Z$33:Z$56),Z$33:AB$56,3,FALSE),VLOOKUP(AB67,Z$33:AB$56,3,FALSE)))</f>
        <v>0.13</v>
      </c>
      <c r="AC69" s="178" t="str">
        <f>IF(AC67="","0",IF(AD91&lt;AE91,AD69,AE69))</f>
        <v>0</v>
      </c>
      <c r="AD69" s="158">
        <f>IF(AC67&lt;MIN(AC$33:AC$56),VLOOKUP(MIN(AC$33:AC$56),AC$33:AE$56,3,FALSE),IF(AC67&gt;MAX(AC$33:AC$56),VLOOKUP(MAX(AC$33:AC$56),AC$33:AE$56,3,FALSE),VLOOKUP(AD67,AC$33:AE$56,3,FALSE)))</f>
        <v>0.13</v>
      </c>
      <c r="AE69" s="158">
        <f>IF(AC67&lt;MIN(AC$33:AC$56),VLOOKUP(MIN(AC$33:AC$56),AC$33:AE$56,3,FALSE),IF(AC67&gt;MAX(AC$33:AC$56),VLOOKUP(MAX(AC$33:AC$56),AC$33:AE$56,3,FALSE),VLOOKUP(AE67,AC$33:AE$56,3,FALSE)))</f>
        <v>0.13</v>
      </c>
      <c r="AF69" s="178" t="str">
        <f>IF(AF67="","0",IF(AG91&lt;AH91,AG69,AH69))</f>
        <v>0</v>
      </c>
      <c r="AG69" s="158">
        <f>IF(AF67&lt;MIN(AF$33:AF$56),VLOOKUP(MIN(AF$33:AF$56),AF$33:AH$56,3,FALSE),IF(AF67&gt;MAX(AF$33:AF$56),VLOOKUP(MAX(AF$33:AF$56),AF$33:AH$56,3,FALSE),VLOOKUP(AG67,AF$33:AH$56,3,FALSE)))</f>
        <v>0.13</v>
      </c>
      <c r="AH69" s="158">
        <f>IF(AF67&lt;MIN(AF$33:AF$56),VLOOKUP(MIN(AF$33:AF$56),AF$33:AH$56,3,FALSE),IF(AF67&gt;MAX(AF$33:AF$56),VLOOKUP(MAX(AF$33:AF$56),AF$33:AH$56,3,FALSE),VLOOKUP(AH67,AF$33:AH$56,3,FALSE)))</f>
        <v>0.13</v>
      </c>
      <c r="AI69" s="178" t="str">
        <f>IF(AI67="","0",IF(AJ91&lt;AK91,AJ69,AK69))</f>
        <v>0</v>
      </c>
      <c r="AJ69" s="158">
        <f>IF(AI67&lt;MIN(AI$33:AI$56),VLOOKUP(MIN(AI$33:AI$56),AI$33:AK$56,3,FALSE),IF(AI67&gt;MAX(AI$33:AI$56),VLOOKUP(MAX(AI$33:AI$56),AI$33:AK$56,3,FALSE),VLOOKUP(AJ67,AI$33:AK$56,3,FALSE)))</f>
        <v>0.13</v>
      </c>
      <c r="AK69" s="158">
        <f>IF(AI67&lt;MIN(AI$33:AI$56),VLOOKUP(MIN(AI$33:AI$56),AI$33:AK$56,3,FALSE),IF(AI67&gt;MAX(AI$33:AI$56),VLOOKUP(MAX(AI$33:AI$56),AI$33:AK$56,3,FALSE),VLOOKUP(AK67,AI$33:AK$56,3,FALSE)))</f>
        <v>0.13</v>
      </c>
      <c r="AL69" s="178" t="str">
        <f>IF(AL67="","0",IF(AM91&lt;AN91,AM69,AN69))</f>
        <v>0</v>
      </c>
      <c r="AM69" s="158">
        <f>IF(AL67&lt;MIN(AL$33:AL$56),VLOOKUP(MIN(AL$33:AL$56),AL$33:AN$56,3,FALSE),IF(AL67&gt;MAX(AL$33:AL$56),VLOOKUP(MAX(AL$33:AL$56),AL$33:AN$56,3,FALSE),VLOOKUP(AM67,AL$33:AN$56,3,FALSE)))</f>
        <v>0.153</v>
      </c>
      <c r="AN69" s="158">
        <f>IF(AL67&lt;MIN(AL$33:AL$56),VLOOKUP(MIN(AL$33:AL$56),AL$33:AN$56,3,FALSE),IF(AL67&gt;MAX(AL$33:AL$56),VLOOKUP(MAX(AL$33:AL$56),AL$33:AN$56,3,FALSE),VLOOKUP(AN67,AL$33:AN$56,3,FALSE)))</f>
        <v>0.153</v>
      </c>
      <c r="AO69" s="178" t="str">
        <f>IF(AO67="","0",IF(AP91&lt;AQ91,AP69,AQ69))</f>
        <v>0</v>
      </c>
      <c r="AP69" s="158">
        <f>IF(AO67&lt;MIN(AO$33:AO$56),VLOOKUP(MIN(AO$33:AO$56),AO$33:AQ$56,3,FALSE),IF(AO67&gt;MAX(AO$33:AO$56),VLOOKUP(MAX(AO$33:AO$56),AO$33:AQ$56,3,FALSE),VLOOKUP(AP67,AO$33:AQ$56,3,FALSE)))</f>
        <v>0.54</v>
      </c>
      <c r="AQ69" s="158">
        <f>IF(AO67&lt;MIN(AO$33:AO$56),VLOOKUP(MIN(AO$33:AO$56),AO$33:AQ$56,3,FALSE),IF(AO67&gt;MAX(AO$33:AO$56),VLOOKUP(MAX(AO$33:AO$56),AO$33:AQ$56,3,FALSE),VLOOKUP(AQ67,AO$33:AQ$56,3,FALSE)))</f>
        <v>0.54</v>
      </c>
      <c r="AR69" s="178" t="str">
        <f>IF(AR67="","0",IF(AS91&lt;AT91,AS69,AT69))</f>
        <v>0</v>
      </c>
      <c r="AS69" s="158">
        <f>IF(AR67&lt;MIN(AR$33:AR$56),VLOOKUP(MIN(AR$33:AR$56),AR$33:AT$56,3,FALSE),IF(AR67&gt;MAX(AR$33:AR$56),VLOOKUP(MAX(AR$33:AR$56),AR$33:AT$56,3,FALSE),VLOOKUP(AS67,AR$33:AT$56,3,FALSE)))</f>
        <v>0.54</v>
      </c>
      <c r="AT69" s="158">
        <f>IF(AR67&lt;MIN(AR$33:AR$56),VLOOKUP(MIN(AR$33:AR$56),AR$33:AT$56,3,FALSE),IF(AR67&gt;MAX(AR$33:AR$56),VLOOKUP(MAX(AR$33:AR$56),AR$33:AT$56,3,FALSE),VLOOKUP(AT67,AR$33:AT$56,3,FALSE)))</f>
        <v>0.54</v>
      </c>
      <c r="AU69" s="178" t="str">
        <f>IF(AU67="","0",IF(AV91&lt;AW91,AV69,AW69))</f>
        <v>0</v>
      </c>
      <c r="AV69" s="158">
        <f>IF(AU67&lt;MIN(AU$33:AU$56),VLOOKUP(MIN(AU$33:AU$56),AU$33:AW$56,3,FALSE),IF(AU67&gt;MAX(AU$33:AU$56),VLOOKUP(MAX(AU$33:AU$56),AU$33:AW$56,3,FALSE),VLOOKUP(AV67,AU$33:AW$56,3,FALSE)))</f>
        <v>0.1</v>
      </c>
      <c r="AW69" s="158">
        <f>IF(AU67&lt;MIN(AU$33:AU$56),VLOOKUP(MIN(AU$33:AU$56),AU$33:AW$56,3,FALSE),IF(AU67&gt;MAX(AU$33:AU$56),VLOOKUP(MAX(AU$33:AU$56),AU$33:AW$56,3,FALSE),VLOOKUP(AW67,AU$33:AW$56,3,FALSE)))</f>
        <v>0.1</v>
      </c>
      <c r="AX69" s="178" t="str">
        <f>IF(AX67="","0",IF(AY91&lt;AZ91,AY69,AZ69))</f>
        <v>0</v>
      </c>
      <c r="AY69" s="158">
        <f>IF(AX67&lt;MIN(AX$33:AX$56),VLOOKUP(MIN(AX$33:AX$56),AX$33:AZ$56,3,FALSE),IF(AX67&gt;MAX(AX$33:AX$56),VLOOKUP(MAX(AX$33:AX$56),AX$33:AZ$56,3,FALSE),VLOOKUP(AY67,AX$33:AZ$56,3,FALSE)))</f>
        <v>0.1</v>
      </c>
      <c r="AZ69" s="158">
        <f>IF(AX67&lt;MIN(AX$33:AX$56),VLOOKUP(MIN(AX$33:AX$56),AX$33:AZ$56,3,FALSE),IF(AX67&gt;MAX(AX$33:AX$56),VLOOKUP(MAX(AX$33:AX$56),AX$33:AZ$56,3,FALSE),VLOOKUP(AZ67,AX$33:AZ$56,3,FALSE)))</f>
        <v>0.1</v>
      </c>
    </row>
    <row r="70" spans="1:52" x14ac:dyDescent="0.25">
      <c r="A70" s="147">
        <v>5</v>
      </c>
      <c r="B70" s="175" t="str">
        <f>IF('datos crudos'!$S$27="","",'datos crudos'!$S$27)</f>
        <v/>
      </c>
      <c r="C70" s="158">
        <f>IF(B70&lt;MIN(B$33:B$56),MIN(B$33:B$56),IF(B70&gt;MAX(B$33:B$56),MAX(B$33:B$56),INDEX(B$33:B$56,VLOOKUP(B70,B$33:$BA$56,COLUMNS(B$3:$BA$3),TRUE),1)))</f>
        <v>399.31700000000001</v>
      </c>
      <c r="D70" s="158">
        <f>IF(B70&lt;MIN(B$33:B$56),MIN(B$33:B$56),IF(B70&gt;MAX(B$33:B$56),MAX(B$33:B$56),INDEX(B$33:B$56,VLOOKUP(B70,B$33:$BA$56,COLUMNS(B$3:$BA$3),TRUE)+1,1)))</f>
        <v>399.31700000000001</v>
      </c>
      <c r="E70" s="175" t="str">
        <f>B70</f>
        <v/>
      </c>
      <c r="F70" s="158">
        <f>IF(E70&lt;MIN(E$33:E$56),MIN(E$33:E$56),IF(E70&gt;MAX(E$33:E$56),MAX(E$33:E$56),INDEX(E$33:E$56,VLOOKUP(E70,E$33:$BA$56,COLUMNS(E$3:$BA$3),TRUE),1)))</f>
        <v>270.39999999999998</v>
      </c>
      <c r="G70" s="158">
        <f>IF(E70&lt;MIN(E$33:E$56),MIN(E$33:E$56),IF(E70&gt;MAX(E$33:E$56),MAX(E$33:E$56),INDEX(E$33:E$56,VLOOKUP(E70,E$33:$BA$56,COLUMNS(E$3:$BA$3),TRUE)+1,1)))</f>
        <v>270.39999999999998</v>
      </c>
      <c r="H70" s="175" t="str">
        <f>B70</f>
        <v/>
      </c>
      <c r="I70" s="158">
        <f>IF(H70&lt;MIN(H$33:H$56),MIN(H$33:H$56),IF(H70&gt;MAX(H$33:H$56),MAX(H$33:H$56),INDEX(H$33:H$56,VLOOKUP(H70,H$33:$BA$56,COLUMNS(H$3:$BA$3),TRUE),1)))</f>
        <v>400</v>
      </c>
      <c r="J70" s="158">
        <f>IF(H70&lt;MIN(H$33:H$56),MIN(H$33:H$56),IF(H70&gt;MAX(H$33:H$56),MAX(H$33:H$56),INDEX(H$33:H$56,VLOOKUP(H70,H$33:$BA$56,COLUMNS(H$3:$BA$3),TRUE)+1,1)))</f>
        <v>400</v>
      </c>
      <c r="K70" s="175" t="str">
        <f>E70</f>
        <v/>
      </c>
      <c r="L70" s="158">
        <f>IF(K70&lt;MIN(K$33:K$56),MIN(K$33:K$56),IF(K70&gt;MAX(K$33:K$56),MAX(K$33:K$56),INDEX(K$33:K$56,VLOOKUP(K70,K$33:$BA$56,COLUMNS(K$3:$BA$3),TRUE),1)))</f>
        <v>139.19999999999999</v>
      </c>
      <c r="M70" s="158">
        <f>IF(K70&lt;MIN(K$33:K$56),MIN(K$33:K$56),IF(K70&gt;MAX(K$33:K$56),MAX(K$33:K$56),INDEX(K$33:K$56,VLOOKUP(K70,K$33:$BA$56,COLUMNS(K$3:$BA$3),TRUE)+1,1)))</f>
        <v>139.19999999999999</v>
      </c>
      <c r="N70" s="175" t="str">
        <f>B70</f>
        <v/>
      </c>
      <c r="O70" s="176">
        <f>IF(N70&lt;MIN(N$33:N$56),MIN(N$33:N$56),IF(N70&gt;MAX(N$33:N$56),MAX(N$33:N$56),INDEX(N$33:N$56,VLOOKUP(N70,N$33:$BA$56,COLUMNS(N$3:$BA$3),TRUE),1)))</f>
        <v>398.86700000000002</v>
      </c>
      <c r="P70" s="176">
        <f>IF(N70&lt;MIN(N$33:N$56),MIN(N$33:N$56),IF(N70&gt;MAX(N$33:N$56),MAX(N$33:N$56),INDEX(N$33:N$56,VLOOKUP(N70,N$33:$BA$56,COLUMNS(N$3:$BA$3),TRUE)+1,1)))</f>
        <v>398.86700000000002</v>
      </c>
      <c r="Q70" s="175" t="str">
        <f>E70</f>
        <v/>
      </c>
      <c r="R70" s="176">
        <f>IF(Q70&lt;MIN(Q$33:Q$56),MIN(Q$33:Q$56),IF(Q70&gt;MAX(Q$33:Q$56),MAX(Q$33:Q$56),INDEX(Q$33:Q$56,VLOOKUP(Q70,Q$33:$BA$56,COLUMNS(Q$3:$BA$3),TRUE),1)))</f>
        <v>399.16</v>
      </c>
      <c r="S70" s="176">
        <f>IF(Q70&lt;MIN(Q$33:Q$56),MIN(Q$33:Q$56),IF(Q70&gt;MAX(Q$33:Q$56),MAX(Q$33:Q$56),INDEX(Q$33:Q$56,VLOOKUP(Q70,Q$33:$BA$56,COLUMNS(Q$3:$BA$3),TRUE)+1,1)))</f>
        <v>399.16</v>
      </c>
      <c r="T70" s="175" t="str">
        <f>H70</f>
        <v/>
      </c>
      <c r="U70" s="176">
        <f>IF(T70&lt;MIN(T$33:T$56),MIN(T$33:T$56),IF(T70&gt;MAX(T$33:T$56),MAX(T$33:T$56),INDEX(T$33:T$56,VLOOKUP(T70,T$33:$BA$56,COLUMNS(T$3:$BA$3),TRUE),1)))</f>
        <v>100.1</v>
      </c>
      <c r="V70" s="176">
        <f>IF(T70&lt;MIN(T$33:T$56),MIN(T$33:T$56),IF(T70&gt;MAX(T$33:T$56),MAX(T$33:T$56),INDEX(T$33:T$56,VLOOKUP(T70,T$33:$BA$56,COLUMNS(T$3:$BA$3),TRUE)+1,1)))</f>
        <v>100.1</v>
      </c>
      <c r="W70" s="175" t="str">
        <f>B70</f>
        <v/>
      </c>
      <c r="X70" s="177" t="e">
        <f>IF(W70&lt;MIN(W$33:W$56),MIN(W$33:W$56),IF(W70&gt;MAX(W$33:W$56),MAX(W$33:W$56),INDEX(W$33:W$56,VLOOKUP(W70,W$33:$BA$56,COLUMNS(W$3:$BA$3),TRUE),1)))</f>
        <v>#N/A</v>
      </c>
      <c r="Y70" s="158" t="e">
        <f>IF(W70&lt;MIN(W$33:W$56),MIN(W$33:W$56),IF(W70&gt;MAX(W$33:W$56),MAX(W$33:W$56),INDEX(W$33:W$56,VLOOKUP(W70,W$33:$BA$56,COLUMNS(W$3:$BA$3),TRUE)+1,1)))</f>
        <v>#N/A</v>
      </c>
      <c r="Z70" s="175" t="str">
        <f>B70</f>
        <v/>
      </c>
      <c r="AA70" s="158">
        <f>IF(Z70&lt;MIN(Z$33:Z$56),MIN(Z$33:Z$56),IF(Z70&gt;MAX(Z$33:Z$56),MAX(Z$33:Z$56),INDEX(Z$33:Z$56,VLOOKUP(Z70,Z$33:$BA$56,COLUMNS(Z$3:$BA$3),TRUE),1)))</f>
        <v>139.87</v>
      </c>
      <c r="AB70" s="158">
        <f>IF(Z70&lt;MIN(Z$33:Z$56),MIN(Z$33:Z$56),IF(Z70&gt;MAX(Z$33:Z$56),MAX(Z$33:Z$56),INDEX(Z$33:Z$56,VLOOKUP(Z70,Z$33:$BA$56,COLUMNS(Z$3:$BA$3),TRUE)+1,1)))</f>
        <v>139.87</v>
      </c>
      <c r="AC70" s="175" t="str">
        <f>B70</f>
        <v/>
      </c>
      <c r="AD70" s="158">
        <f>IF(AC70&lt;MIN(AC$33:AC$56),MIN(AC$33:AC$56),IF(AC70&gt;MAX(AC$33:AC$56),MAX(AC$33:AC$56),INDEX(AC$33:AC$56,VLOOKUP(AC70,AC$33:$BA$56,COLUMNS(AC$3:$BA$3),TRUE),1)))</f>
        <v>139.87</v>
      </c>
      <c r="AE70" s="158">
        <f>IF(AC70&lt;MIN(AC$33:AC$56),MIN(AC$33:AC$56),IF(AC70&gt;MAX(AC$33:AC$56),MAX(AC$33:AC$56),INDEX(AC$33:AC$56,VLOOKUP(AC70,AC$33:$BA$56,COLUMNS(AC$3:$BA$3),TRUE)+1,1)))</f>
        <v>139.87</v>
      </c>
      <c r="AF70" s="175" t="str">
        <f>B70</f>
        <v/>
      </c>
      <c r="AG70" s="158">
        <f>IF(AF70&lt;MIN(AF$33:AF$56),MIN(AF$33:AF$56),IF(AF70&gt;MAX(AF$33:AF$56),MAX(AF$33:AF$56),INDEX(AF$33:AF$56,VLOOKUP(AF70,AF$33:$BA$56,COLUMNS(AF$3:$BA$3),TRUE),1)))</f>
        <v>139.87</v>
      </c>
      <c r="AH70" s="158">
        <f>IF(AF70&lt;MIN(AF$33:AF$56),MIN(AF$33:AF$56),IF(AF70&gt;MAX(AF$33:AF$56),MAX(AF$33:AF$56),INDEX(AF$33:AF$56,VLOOKUP(AF70,AF$33:$BA$56,COLUMNS(AF$3:$BA$3),TRUE)+1,1)))</f>
        <v>139.87</v>
      </c>
      <c r="AI70" s="175" t="str">
        <f>E70</f>
        <v/>
      </c>
      <c r="AJ70" s="158">
        <f>IF(AI70&lt;MIN(AI$33:AI$56),MIN(AI$33:AI$56),IF(AI70&gt;MAX(AI$33:AI$56),MAX(AI$33:AI$56),INDEX(AI$33:AI$56,VLOOKUP(AI70,AI$33:$BA$56,COLUMNS(AI$3:$BA$3),TRUE),1)))</f>
        <v>139.88</v>
      </c>
      <c r="AK70" s="158">
        <f>IF(AI70&lt;MIN(AI$33:AI$56),MIN(AI$33:AI$56),IF(AI70&gt;MAX(AI$33:AI$56),MAX(AI$33:AI$56),INDEX(AI$33:AI$56,VLOOKUP(AI70,AI$33:$BA$56,COLUMNS(AI$3:$BA$3),TRUE)+1,1)))</f>
        <v>139.88</v>
      </c>
      <c r="AL70" s="175" t="str">
        <f>H70</f>
        <v/>
      </c>
      <c r="AM70" s="158">
        <f>IF(AL70&lt;MIN(AL$33:AL$56),MIN(AL$33:AL$56),IF(AL70&gt;MAX(AL$33:AL$56),MAX(AL$33:AL$56),INDEX(AL$33:AL$56,VLOOKUP(AL70,AL$33:$BA$56,COLUMNS(AL$3:$BA$3),TRUE),1)))</f>
        <v>300.2</v>
      </c>
      <c r="AN70" s="158">
        <f>IF(AL70&lt;MIN(AL$33:AL$56),MIN(AL$33:AL$56),IF(AL70&gt;MAX(AL$33:AL$56),MAX(AL$33:AL$56),INDEX(AL$33:AL$56,VLOOKUP(AL70,AL$33:$BA$56,COLUMNS(AL$3:$BA$3),TRUE)+1,1)))</f>
        <v>300.2</v>
      </c>
      <c r="AO70" s="175" t="str">
        <f>K70</f>
        <v/>
      </c>
      <c r="AP70" s="158">
        <f>IF(AO70&lt;MIN(AO$33:AO$56),MIN(AO$33:AO$56),IF(AO70&gt;MAX(AO$33:AO$56),MAX(AO$33:AO$56),INDEX(AO$33:AO$56,VLOOKUP(AO70,AO$33:$BA$56,COLUMNS(AO$3:$BA$3),TRUE),1)))</f>
        <v>139.80000000000001</v>
      </c>
      <c r="AQ70" s="158">
        <f>IF(AO70&lt;MIN(AO$33:AO$56),MIN(AO$33:AO$56),IF(AO70&gt;MAX(AO$33:AO$56),MAX(AO$33:AO$56),INDEX(AO$33:AO$56,VLOOKUP(AO70,AO$33:$BA$56,COLUMNS(AO$3:$BA$3),TRUE)+1,1)))</f>
        <v>139.80000000000001</v>
      </c>
      <c r="AR70" s="175" t="str">
        <f>N70</f>
        <v/>
      </c>
      <c r="AS70" s="158">
        <f>IF(AR70&lt;MIN(AR$33:AR$56),MIN(AR$33:AR$56),IF(AR70&gt;MAX(AR$33:AR$56),MAX(AR$33:AR$56),INDEX(AR$33:AR$56,VLOOKUP(AR70,AR$33:$BA$56,COLUMNS(AR$3:$BA$3),TRUE),1)))</f>
        <v>139.9</v>
      </c>
      <c r="AT70" s="158">
        <f>IF(AR70&lt;MIN(AR$33:AR$56),MIN(AR$33:AR$56),IF(AR70&gt;MAX(AR$33:AR$56),MAX(AR$33:AR$56),INDEX(AR$33:AR$56,VLOOKUP(AR70,AR$33:$BA$56,COLUMNS(AR$3:$BA$3),TRUE)+1,1)))</f>
        <v>139.9</v>
      </c>
      <c r="AU70" s="175" t="str">
        <f>Q70</f>
        <v/>
      </c>
      <c r="AV70" s="158">
        <f>IF(AU70&lt;MIN(AU$33:AU$56),MIN(AU$33:AU$56),IF(AU70&gt;MAX(AU$33:AU$56),MAX(AU$33:AU$56),INDEX(AU$33:AU$56,VLOOKUP(AU70,AU$33:$BA$56,COLUMNS(AU$3:$BA$3),TRUE),1)))</f>
        <v>40.33</v>
      </c>
      <c r="AW70" s="158">
        <f>IF(AU70&lt;MIN(AU$33:AU$56),MIN(AU$33:AU$56),IF(AU70&gt;MAX(AU$33:AU$56),MAX(AU$33:AU$56),INDEX(AU$33:AU$56,VLOOKUP(AU70,AU$33:$BA$56,COLUMNS(AU$3:$BA$3),TRUE)+1,1)))</f>
        <v>40.33</v>
      </c>
      <c r="AX70" s="175" t="str">
        <f>Q70</f>
        <v/>
      </c>
      <c r="AY70" s="158">
        <f>IF(AX70&lt;MIN(AX$33:AX$56),MIN(AX$33:AX$56),IF(AX70&gt;MAX(AX$33:AX$56),MAX(AX$33:AX$56),INDEX(AX$33:AX$56,VLOOKUP(AX70,AX$33:$BA$56,COLUMNS(AX$3:$BA$3),TRUE),1)))</f>
        <v>36.67</v>
      </c>
      <c r="AZ70" s="158">
        <f>IF(AX70&lt;MIN(AX$33:AX$56),MIN(AX$33:AX$56),IF(AX70&gt;MAX(AX$33:AX$56),MAX(AX$33:AX$56),INDEX(AX$33:AX$56,VLOOKUP(AX70,AX$33:$BA$56,COLUMNS(AX$3:$BA$3),TRUE)+1,1)))</f>
        <v>36.67</v>
      </c>
    </row>
    <row r="71" spans="1:52" x14ac:dyDescent="0.25">
      <c r="A71" s="150" t="s">
        <v>29</v>
      </c>
      <c r="B71" s="178">
        <f>IF(C92&lt;D92,C71,D71)</f>
        <v>0.54700000000000004</v>
      </c>
      <c r="C71" s="158">
        <f>IF(B70&lt;MIN(B$33:B$56),VLOOKUP(MIN(B$33:B$56),B$33:D$56,2,FALSE),IF(B70&gt;MAX(B$33:B$56),VLOOKUP(MAX(B$33:B$56),B$33:D$56,2,FALSE),VLOOKUP(C70,B$33:D$56,2,FALSE)))</f>
        <v>0.54700000000000004</v>
      </c>
      <c r="D71" s="158">
        <f>IF(B70&lt;MIN(B$33:B$56),VLOOKUP(MIN(B$33:B$56),B$33:D$56,2,FALSE),IF(B70&gt;MAX(B$33:B$56),VLOOKUP(MAX(B$33:B$56),B$33:D$56,2,FALSE),VLOOKUP(D70,B33:D56,2,FALSE)))</f>
        <v>0.54700000000000004</v>
      </c>
      <c r="E71" s="178">
        <f>IF($F$92&lt;$G$92,$F$71,$G$71)</f>
        <v>0.28799999999999998</v>
      </c>
      <c r="F71" s="158">
        <f>IF(E70&lt;MIN(E$33:E$56),VLOOKUP(MIN(E$33:E$56),E$33:G$56,2,FALSE),IF(E70&gt;MAX(E$33:E$56),VLOOKUP(MAX(E$33:E$56),E$33:G$56,2,FALSE),VLOOKUP(F70,E$33:G$56,2,FALSE)))</f>
        <v>0.28799999999999998</v>
      </c>
      <c r="G71" s="158">
        <f>IF(E70&lt;MIN(E$33:E$56),VLOOKUP(MIN(E$33:E$56),E$33:G$56,2,FALSE),IF(E70&gt;MAX(E$33:E$56),VLOOKUP(MAX(E$33:E$56),E$33:G$56,2,FALSE),VLOOKUP(G70,E33:G56,2,FALSE)))</f>
        <v>0.28799999999999998</v>
      </c>
      <c r="H71" s="178">
        <f>IF(I92&lt;J92,I71,J71)</f>
        <v>3.2000000000000001E-2</v>
      </c>
      <c r="I71" s="158">
        <f>IF(H70&lt;MIN(H$33:H$56),VLOOKUP(MIN(H$33:H$56),H$33:J$56,2,FALSE),IF(H70&gt;MAX(H$33:H$56),VLOOKUP(MAX(H$33:H$56),H$33:J$56,2,FALSE),VLOOKUP(I70,H$33:J$56,2,FALSE)))</f>
        <v>3.2000000000000001E-2</v>
      </c>
      <c r="J71" s="158">
        <f>IF(H70&lt;MIN(H$33:H$56),VLOOKUP(MIN(H$33:H$56),H$33:J$56,2,FALSE),IF(H70&gt;MAX(H$33:H$56),VLOOKUP(MAX(H$33:H$56),H$33:J$56,2,FALSE),VLOOKUP(J70,H33:J56,2,FALSE)))</f>
        <v>3.2000000000000001E-2</v>
      </c>
      <c r="K71" s="178">
        <f>IF(L92&lt;M92,L71,M71)</f>
        <v>-0.8</v>
      </c>
      <c r="L71" s="158">
        <f>IF(K70&lt;MIN(K$33:K$56),VLOOKUP(MIN(K$33:K$56),K$33:M$56,2,FALSE),IF(K70&gt;MAX(K$33:K$56),VLOOKUP(MAX(K$33:K$56),K$33:M$56,2,FALSE),VLOOKUP(L70,K$33:M$56,2,FALSE)))</f>
        <v>-0.8</v>
      </c>
      <c r="M71" s="158">
        <f>IF(K70&lt;MIN(K$33:K$56),VLOOKUP(MIN(K$33:K$56),K$33:M$56,2,FALSE),IF(K70&gt;MAX(K$33:K$56),VLOOKUP(MAX(K$33:K$56),K$33:M$56,2,FALSE),VLOOKUP(M70,K33:M56,2,FALSE)))</f>
        <v>-0.8</v>
      </c>
      <c r="N71" s="178">
        <f>IF(O92&lt;P92,O71,P71)</f>
        <v>0.5363</v>
      </c>
      <c r="O71" s="176">
        <f>IF(N70&lt;MIN(N$33:N$56),VLOOKUP(MIN(N$33:N$56),N$33:P$56,2,FALSE),IF(N70&gt;MAX(N$33:N$56),VLOOKUP(MAX(N$33:N$56),N$33:P$56,2,FALSE),VLOOKUP(O70,N$33:P$56,2,FALSE)))</f>
        <v>0.5363</v>
      </c>
      <c r="P71" s="176">
        <f>IF(N70&lt;MIN(N$33:N$56),VLOOKUP(MIN(N$33:N$56),N$33:P$56,2,FALSE),IF(N70&gt;MAX(N$33:N$56),VLOOKUP(MAX(N$33:N$56),N$33:P$56,2,FALSE),VLOOKUP(P70,N33:P56,2,FALSE)))</f>
        <v>0.5363</v>
      </c>
      <c r="Q71" s="178">
        <f>IF(R92&lt;S92,R71,S71)</f>
        <v>-1.0249999999999999</v>
      </c>
      <c r="R71" s="176">
        <f>IF(Q70&lt;MIN(Q$33:Q$56),VLOOKUP(MIN(Q$33:Q$56),Q$33:S$56,2,FALSE),IF(Q70&gt;MAX(Q$33:Q$56),VLOOKUP(MAX(Q$33:Q$56),Q$33:S$56,2,FALSE),VLOOKUP(R70,Q$33:S$56,2,FALSE)))</f>
        <v>-1.0249999999999999</v>
      </c>
      <c r="S71" s="176">
        <f>IF(Q70&lt;MIN(Q$33:Q$56),VLOOKUP(MIN(Q$33:Q$56),Q$33:S$56,2,FALSE),IF(Q70&gt;MAX(Q$33:Q$56),VLOOKUP(MAX(Q$33:Q$56),Q$33:S$56,2,FALSE),VLOOKUP(S70,Q33:S56,2,FALSE)))</f>
        <v>-1.0249999999999999</v>
      </c>
      <c r="T71" s="178">
        <f>IF(U92&lt;V92,U71,V71)</f>
        <v>0.19</v>
      </c>
      <c r="U71" s="176">
        <f>IF(T70&lt;MIN(T$33:T$56),VLOOKUP(MIN(T$33:T$56),T$33:V$56,2,FALSE),IF(T70&gt;MAX(T$33:T$56),VLOOKUP(MAX(T$33:T$56),T$33:V$56,2,FALSE),VLOOKUP(U70,T$33:V$56,2,FALSE)))</f>
        <v>0.19</v>
      </c>
      <c r="V71" s="176">
        <f>IF(T70&lt;MIN(T$33:T$56),VLOOKUP(MIN(T$33:T$56),T$33:V$56,2,FALSE),IF(T70&gt;MAX(T$33:T$56),VLOOKUP(MAX(T$33:T$56),T$33:V$56,2,FALSE),VLOOKUP(V70,T33:V56,2,FALSE)))</f>
        <v>0.19</v>
      </c>
      <c r="W71" s="178" t="e">
        <f>IF(W70&lt;=MIN(W$33:W$56),VLOOKUP(MIN(W$33:W$56),W$33:Y$56,2,FALSE),IF(W70&gt;=MAX(W$33:W$56),VLOOKUP(MAX(W$33:W$56),W$33:Y$56,2,FALSE),X71+((#REF!-X70)/(Y70-X70))*(Y71-X71)))</f>
        <v>#N/A</v>
      </c>
      <c r="X71" s="177" t="e">
        <f>IF(W70&lt;MIN(W$33:W$56),VLOOKUP(MIN(W$33:W$56),W$33:Y$56,2,FALSE),IF(W70&gt;MAX(W$33:W$56),VLOOKUP(MAX(W$33:W$56),W$33:Y$56,2,FALSE),VLOOKUP(X70,W$33:Y$56,2,FALSE)))</f>
        <v>#N/A</v>
      </c>
      <c r="Y71" s="158" t="e">
        <f>IF(W70&lt;MIN(W$33:W$56),VLOOKUP(MIN(W$33:W$56),W$33:Y$56,2,FALSE),IF(W70&gt;MAX(W$33:W$56),VLOOKUP(MAX(W$33:W$56),W$33:Y$56,2,FALSE),VLOOKUP(Y70,W33:Y56,2,FALSE)))</f>
        <v>#N/A</v>
      </c>
      <c r="Z71" s="178">
        <f>IF($AA$92&lt;$AB$92,AA71,AB71)</f>
        <v>0</v>
      </c>
      <c r="AA71" s="158">
        <f>IF(Z70&lt;MIN(Z$33:Z$56),VLOOKUP(MIN(Z$33:Z$56),Z$33:AB$56,2,FALSE),IF(Z70&gt;MAX(Z$33:Z$56),VLOOKUP(MAX(Z$33:Z$56),Z$33:AB$56,2,FALSE),VLOOKUP(AA70,Z$33:AB$56,2,FALSE)))</f>
        <v>0</v>
      </c>
      <c r="AB71" s="158">
        <f>IF(Z70&lt;MIN(Z$33:Z$56),VLOOKUP(MIN(Z$33:Z$56),Z$33:AB$56,2,FALSE),IF(Z70&gt;MAX(Z$33:Z$56),VLOOKUP(MAX(Z$33:Z$56),Z$33:AB$56,2,FALSE),VLOOKUP(AB70,Z33:AB56,2,FALSE)))</f>
        <v>0</v>
      </c>
      <c r="AC71" s="178">
        <f>IF($AD$92&lt;$AE$92,AD71,AE71)</f>
        <v>0</v>
      </c>
      <c r="AD71" s="158">
        <f>IF(AC70&lt;MIN(AC$33:AC$56),VLOOKUP(MIN(AC$33:AC$56),AC$33:AE$56,2,FALSE),IF(AC70&gt;MAX(AC$33:AC$56),VLOOKUP(MAX(AC$33:AC$56),AC$33:AE$56,2,FALSE),VLOOKUP(AD70,AC$33:AE$56,2,FALSE)))</f>
        <v>0</v>
      </c>
      <c r="AE71" s="158">
        <f>IF(AC70&lt;MIN(AC$33:AC$56),VLOOKUP(MIN(AC$33:AC$56),AC$33:AE$56,2,FALSE),IF(AC70&gt;MAX(AC$33:AC$56),VLOOKUP(MAX(AC$33:AC$56),AC$33:AE$56,2,FALSE),VLOOKUP(AE70,AC33:AE56,2,FALSE)))</f>
        <v>0</v>
      </c>
      <c r="AF71" s="178">
        <f>IF($AG$92&lt;$AH$92,AG71,AH71)</f>
        <v>0</v>
      </c>
      <c r="AG71" s="158">
        <f>IF(AF70&lt;MIN(AF$33:AF$56),VLOOKUP(MIN(AF$33:AF$56),AF$33:AH$56,2,FALSE),IF(AF70&gt;MAX(AF$33:AF$56),VLOOKUP(MAX(AF$33:AF$56),AF$33:AH$56,2,FALSE),VLOOKUP(AG70,AF$33:AH$56,2,FALSE)))</f>
        <v>0</v>
      </c>
      <c r="AH71" s="158">
        <f>IF(AF70&lt;MIN(AF$33:AF$56),VLOOKUP(MIN(AF$33:AF$56),AF$33:AH$56,2,FALSE),IF(AF70&gt;MAX(AF$33:AF$56),VLOOKUP(MAX(AF$33:AF$56),AF$33:AH$56,2,FALSE),VLOOKUP(AH70,AF33:AH56,2,FALSE)))</f>
        <v>0</v>
      </c>
      <c r="AI71" s="178">
        <f>IF($AG$92&lt;$AH$92,AJ71,AK71)</f>
        <v>0</v>
      </c>
      <c r="AJ71" s="158">
        <f>IF(AI70&lt;MIN(AI$33:AI$56),VLOOKUP(MIN(AI$33:AI$56),AI$33:AK$56,2,FALSE),IF(AI70&gt;MAX(AI$33:AI$56),VLOOKUP(MAX(AI$33:AI$56),AI$33:AK$56,2,FALSE),VLOOKUP(AJ70,AI$33:AK$56,2,FALSE)))</f>
        <v>0</v>
      </c>
      <c r="AK71" s="158">
        <f>IF(AI70&lt;MIN(AI$33:AI$56),VLOOKUP(MIN(AI$33:AI$56),AI$33:AK$56,2,FALSE),IF(AI70&gt;MAX(AI$33:AI$56),VLOOKUP(MAX(AI$33:AI$56),AI$33:AK$56,2,FALSE),VLOOKUP(AK70,AI33:AK56,2,FALSE)))</f>
        <v>0</v>
      </c>
      <c r="AL71" s="178">
        <f>IF($AG$92&lt;$AH$92,AM71,AN71)</f>
        <v>0.153</v>
      </c>
      <c r="AM71" s="158">
        <f>IF(AL70&lt;MIN(AL$33:AL$56),VLOOKUP(MIN(AL$33:AL$56),AL$33:AN$56,2,FALSE),IF(AL70&gt;MAX(AL$33:AL$56),VLOOKUP(MAX(AL$33:AL$56),AL$33:AN$56,2,FALSE),VLOOKUP(AM70,AL$33:AN$56,2,FALSE)))</f>
        <v>0.153</v>
      </c>
      <c r="AN71" s="158">
        <f>IF(AL70&lt;MIN(AL$33:AL$56),VLOOKUP(MIN(AL$33:AL$56),AL$33:AN$56,2,FALSE),IF(AL70&gt;MAX(AL$33:AL$56),VLOOKUP(MAX(AL$33:AL$56),AL$33:AN$56,2,FALSE),VLOOKUP(AN70,AL33:AN56,2,FALSE)))</f>
        <v>0.153</v>
      </c>
      <c r="AO71" s="178">
        <f>IF($AG$92&lt;$AH$92,AP71,AQ71)</f>
        <v>-0.2</v>
      </c>
      <c r="AP71" s="158">
        <f>IF(AO70&lt;MIN(AO$33:AO$56),VLOOKUP(MIN(AO$33:AO$56),AO$33:AQ$56,2,FALSE),IF(AO70&gt;MAX(AO$33:AO$56),VLOOKUP(MAX(AO$33:AO$56),AO$33:AQ$56,2,FALSE),VLOOKUP(AP70,AO$33:AQ$56,2,FALSE)))</f>
        <v>-0.2</v>
      </c>
      <c r="AQ71" s="158">
        <f>IF(AO70&lt;MIN(AO$33:AO$56),VLOOKUP(MIN(AO$33:AO$56),AO$33:AQ$56,2,FALSE),IF(AO70&gt;MAX(AO$33:AO$56),VLOOKUP(MAX(AO$33:AO$56),AO$33:AQ$56,2,FALSE),VLOOKUP(AQ70,AO33:AQ56,2,FALSE)))</f>
        <v>-0.2</v>
      </c>
      <c r="AR71" s="178">
        <f>IF($AG$92&lt;$AH$92,AS71,AT71)</f>
        <v>-0.1</v>
      </c>
      <c r="AS71" s="158">
        <f>IF(AR70&lt;MIN(AR$33:AR$56),VLOOKUP(MIN(AR$33:AR$56),AR$33:AT$56,2,FALSE),IF(AR70&gt;MAX(AR$33:AR$56),VLOOKUP(MAX(AR$33:AR$56),AR$33:AT$56,2,FALSE),VLOOKUP(AS70,AR$33:AT$56,2,FALSE)))</f>
        <v>-0.1</v>
      </c>
      <c r="AT71" s="158">
        <f>IF(AR70&lt;MIN(AR$33:AR$56),VLOOKUP(MIN(AR$33:AR$56),AR$33:AT$56,2,FALSE),IF(AR70&gt;MAX(AR$33:AR$56),VLOOKUP(MAX(AR$33:AR$56),AR$33:AT$56,2,FALSE),VLOOKUP(AT70,AR33:AT56,2,FALSE)))</f>
        <v>-0.1</v>
      </c>
      <c r="AU71" s="178">
        <f>IF($AG$92&lt;$AH$92,AV71,AW71)</f>
        <v>0.03</v>
      </c>
      <c r="AV71" s="158">
        <f>IF(AU70&lt;MIN(AU$33:AU$56),VLOOKUP(MIN(AU$33:AU$56),AU$33:AW$56,2,FALSE),IF(AU70&gt;MAX(AU$33:AU$56),VLOOKUP(MAX(AU$33:AU$56),AU$33:AW$56,2,FALSE),VLOOKUP(AV70,AU$33:AW$56,2,FALSE)))</f>
        <v>0.03</v>
      </c>
      <c r="AW71" s="158">
        <f>IF(AU70&lt;MIN(AU$33:AU$56),VLOOKUP(MIN(AU$33:AU$56),AU$33:AW$56,2,FALSE),IF(AU70&gt;MAX(AU$33:AU$56),VLOOKUP(MAX(AU$33:AU$56),AU$33:AW$56,2,FALSE),VLOOKUP(AW70,AU33:AW56,2,FALSE)))</f>
        <v>0.03</v>
      </c>
      <c r="AX71" s="178">
        <f>IF($AG$92&lt;$AH$92,AY71,AZ71)</f>
        <v>7.0000000000000007E-2</v>
      </c>
      <c r="AY71" s="158">
        <f>IF(AX70&lt;MIN(AX$33:AX$56),VLOOKUP(MIN(AX$33:AX$56),AX$33:AZ$56,2,FALSE),IF(AX70&gt;MAX(AX$33:AX$56),VLOOKUP(MAX(AX$33:AX$56),AX$33:AZ$56,2,FALSE),VLOOKUP(AY70,AX$33:AZ$56,2,FALSE)))</f>
        <v>7.0000000000000007E-2</v>
      </c>
      <c r="AZ71" s="158">
        <f>IF(AX70&lt;MIN(AX$33:AX$56),VLOOKUP(MIN(AX$33:AX$56),AX$33:AZ$56,2,FALSE),IF(AX70&gt;MAX(AX$33:AX$56),VLOOKUP(MAX(AX$33:AX$56),AX$33:AZ$56,2,FALSE),VLOOKUP(AZ70,AX33:AZ56,2,FALSE)))</f>
        <v>7.0000000000000007E-2</v>
      </c>
    </row>
    <row r="72" spans="1:52" x14ac:dyDescent="0.25">
      <c r="A72" s="150" t="s">
        <v>30</v>
      </c>
      <c r="B72" s="178" t="str">
        <f>IF(B70="","0",IF($C$92&lt;$D$92,$C$72,$D$72))</f>
        <v>0</v>
      </c>
      <c r="C72" s="158">
        <f>IF(B70&lt;MIN(B$33:B$56),VLOOKUP(MIN(B$33:B$56),B$33:D$56,3,FALSE),IF(B70&gt;MAX(B$33:B$56),VLOOKUP(MAX(B$33:B$56),B$33:D$56,3,FALSE),VLOOKUP(C70,B$33:D$56,3,FALSE)))</f>
        <v>4.2000000000000003E-2</v>
      </c>
      <c r="D72" s="158">
        <f>IF(B70&lt;MIN(B$33:B$56),VLOOKUP(MIN(B$33:B$56),B$33:D$56,3,FALSE),IF(B70&gt;MAX(B$33:B$56),VLOOKUP(MAX(B$33:B$56),B$33:D$56,3,FALSE),VLOOKUP(D70,B$33:D$56,3,FALSE)))</f>
        <v>4.2000000000000003E-2</v>
      </c>
      <c r="E72" s="178" t="str">
        <f>IF(E70="","0",IF(F92&lt;G92,F72,G72))</f>
        <v>0</v>
      </c>
      <c r="F72" s="158">
        <f>IF(E70&lt;MIN(E$33:E$56),VLOOKUP(MIN(E$33:E$56),E$33:G$56,3,FALSE),IF(E70&gt;MAX(E$33:E$56),VLOOKUP(MAX(E$33:E$56),E$33:G$56,3,FALSE),VLOOKUP(F70,E$33:G$56,3,FALSE)))</f>
        <v>3.1E-2</v>
      </c>
      <c r="G72" s="158">
        <f>IF(E70&lt;MIN(E$33:E$56),VLOOKUP(MIN(E$33:E$56),E$33:G$56,3,FALSE),IF(E70&gt;MAX(E$33:E$56),VLOOKUP(MAX(E$33:E$56),E$33:G$56,3,FALSE),VLOOKUP(G70,E$33:G$56,3,FALSE)))</f>
        <v>3.1E-2</v>
      </c>
      <c r="H72" s="178" t="str">
        <f>IF(H70="","0",IF(I92&lt;J92,I72,J72))</f>
        <v>0</v>
      </c>
      <c r="I72" s="158">
        <f>IF(H70&lt;MIN(H$33:H$56),VLOOKUP(MIN(H$33:H$56),H$33:J$56,3,FALSE),IF(H70&gt;MAX(H$33:H$56),VLOOKUP(MAX(H$33:H$56),H$33:J$56,3,FALSE),VLOOKUP(I70,H$33:J$56,3,FALSE)))</f>
        <v>0.11</v>
      </c>
      <c r="J72" s="158">
        <f>IF(H70&lt;MIN(H$33:H$56),VLOOKUP(MIN(H$33:H$56),H$33:J$56,3,FALSE),IF(H70&gt;MAX(H$33:H$56),VLOOKUP(MAX(H$33:H$56),H$33:J$56,3,FALSE),VLOOKUP(J70,H$33:J$56,3,FALSE)))</f>
        <v>0.11</v>
      </c>
      <c r="K72" s="178" t="str">
        <f>IF(K70="","0",IF(L92&lt;M92,L72,M72))</f>
        <v>0</v>
      </c>
      <c r="L72" s="158">
        <f>IF(K70&lt;MIN(K$33:K$56),VLOOKUP(MIN(K$33:K$56),K$33:M$56,3,FALSE),IF(K70&gt;MAX(K$33:K$56),VLOOKUP(MAX(K$33:K$56),K$33:M$56,3,FALSE),VLOOKUP(L70,K$33:M$56,3,FALSE)))</f>
        <v>0.54</v>
      </c>
      <c r="M72" s="158">
        <f>IF(K70&lt;MIN(K$33:K$56),VLOOKUP(MIN(K$33:K$56),K$33:M$56,3,FALSE),IF(K70&gt;MAX(K$33:K$56),VLOOKUP(MAX(K$33:K$56),K$33:M$56,3,FALSE),VLOOKUP(M70,K$33:M$56,3,FALSE)))</f>
        <v>0.54</v>
      </c>
      <c r="N72" s="178" t="str">
        <f>IF(N70="","0",IF(O92&lt;P92,O72,P72))</f>
        <v>0</v>
      </c>
      <c r="O72" s="176">
        <f>IF(N70&lt;MIN(N$33:N$56),VLOOKUP(MIN(N$33:N$56),N$33:P$56,3,FALSE),IF(N70&gt;MAX(N$33:N$56),VLOOKUP(MAX(N$33:N$56),N$33:P$56,3,FALSE),VLOOKUP(O70,N$33:P$56,3,FALSE)))</f>
        <v>2.1000000000000001E-2</v>
      </c>
      <c r="P72" s="176">
        <f>IF(N70&lt;MIN(N$33:N$56),VLOOKUP(MIN(N$33:N$56),N$33:P$56,3,FALSE),IF(N70&gt;MAX(N$33:N$56),VLOOKUP(MAX(N$33:N$56),N$33:P$56,3,FALSE),VLOOKUP(P70,N$33:P$56,3,FALSE)))</f>
        <v>2.1000000000000001E-2</v>
      </c>
      <c r="Q72" s="178" t="str">
        <f>IF(Q70="","0",IF(R92&lt;S92,R72,S72))</f>
        <v>0</v>
      </c>
      <c r="R72" s="176">
        <f>IF(Q70&lt;MIN(Q$33:Q$56),VLOOKUP(MIN(Q$33:Q$56),Q$33:S$56,3,FALSE),IF(Q70&gt;MAX(Q$33:Q$56),VLOOKUP(MAX(Q$33:Q$56),Q$33:S$56,3,FALSE),VLOOKUP(R70,Q$33:S$56,3,FALSE)))</f>
        <v>6.2E-2</v>
      </c>
      <c r="S72" s="176">
        <f>IF(Q70&lt;MIN(Q$33:Q$56),VLOOKUP(MIN(Q$33:Q$56),Q$33:S$56,3,FALSE),IF(Q70&gt;MAX(Q$33:Q$56),VLOOKUP(MAX(Q$33:Q$56),Q$33:S$56,3,FALSE),VLOOKUP(S70,Q$33:S$56,3,FALSE)))</f>
        <v>6.2E-2</v>
      </c>
      <c r="T72" s="178" t="str">
        <f>IF(T70="","0",IF(U92&lt;V92,U72,V72))</f>
        <v>0</v>
      </c>
      <c r="U72" s="176">
        <f>IF(T70&lt;MIN(T$33:T$56),VLOOKUP(MIN(T$33:T$56),T$33:V$56,3,FALSE),IF(T70&gt;MAX(T$33:T$56),VLOOKUP(MAX(T$33:T$56),T$33:V$56,3,FALSE),VLOOKUP(U70,T$33:V$56,3,FALSE)))</f>
        <v>0.14199999999999999</v>
      </c>
      <c r="V72" s="176">
        <f>IF(T70&lt;MIN(T$33:T$56),VLOOKUP(MIN(T$33:T$56),T$33:V$56,3,FALSE),IF(T70&gt;MAX(T$33:T$56),VLOOKUP(MAX(T$33:T$56),T$33:V$56,3,FALSE),VLOOKUP(V70,T$33:V$56,3,FALSE)))</f>
        <v>0.14199999999999999</v>
      </c>
      <c r="W72" s="178" t="e">
        <f>IF(W70&lt;=MIN(W$33:W$56),VLOOKUP(MIN(W$33:W$56),W$33:Y$56,3,FALSE),IF(W70&gt;=MAX(W$33:W$56),VLOOKUP(MAX(W$33:W$56),W$33:Y$56,3,FALSE),X72+((#REF!-X70)/(Y70-X70))*(Y72-X72)))</f>
        <v>#N/A</v>
      </c>
      <c r="X72" s="177" t="e">
        <f>IF(W70&lt;MIN(W$33:W$56),VLOOKUP(MIN(W$33:W$56),W$33:Y$56,3,FALSE),IF(W70&gt;MAX(W$33:W$56),VLOOKUP(MAX(W$33:W$56),W$33:Y$56,3,FALSE),VLOOKUP(X70,W$33:Y$56,3,FALSE)))</f>
        <v>#N/A</v>
      </c>
      <c r="Y72" s="158" t="e">
        <f>IF(W70&lt;MIN(W$33:W$56),VLOOKUP(MIN(W$33:W$56),W$33:Y$56,3,FALSE),IF(W70&gt;MAX(W$33:W$56),VLOOKUP(MAX(W$33:W$56),W$33:Y$56,3,FALSE),VLOOKUP(Y70,W$33:Y$56,3,FALSE)))</f>
        <v>#N/A</v>
      </c>
      <c r="Z72" s="178">
        <f>IF($AA$92&lt;$AB$92,AA72,AB72)</f>
        <v>0.13</v>
      </c>
      <c r="AA72" s="158">
        <f>IF(Z70&lt;MIN(Z$33:Z$56),VLOOKUP(MIN(Z$33:Z$56),Z$33:AB$56,3,FALSE),IF(Z70&gt;MAX(Z$33:Z$56),VLOOKUP(MAX(Z$33:Z$56),Z$33:AB$56,3,FALSE),VLOOKUP(AA70,Z$33:AB$56,3,FALSE)))</f>
        <v>0.13</v>
      </c>
      <c r="AB72" s="158">
        <f>IF(Z70&lt;MIN(Z$33:Z$56),VLOOKUP(MIN(Z$33:Z$56),Z$33:AB$56,3,FALSE),IF(Z70&gt;MAX(Z$33:Z$56),VLOOKUP(MAX(Z$33:Z$56),Z$33:AB$56,3,FALSE),VLOOKUP(AB70,Z$33:AB$56,3,FALSE)))</f>
        <v>0.13</v>
      </c>
      <c r="AC72" s="178">
        <f>IF($AA$92&lt;$AB$92,AD72,AE72)</f>
        <v>0.13</v>
      </c>
      <c r="AD72" s="158">
        <f>IF(AC70&lt;MIN(AC$33:AC$56),VLOOKUP(MIN(AC$33:AC$56),AC$33:AE$56,3,FALSE),IF(AC70&gt;MAX(AC$33:AC$56),VLOOKUP(MAX(AC$33:AC$56),AC$33:AE$56,3,FALSE),VLOOKUP(AD70,AC$33:AE$56,3,FALSE)))</f>
        <v>0.13</v>
      </c>
      <c r="AE72" s="158">
        <f>IF(AC70&lt;MIN(AC$33:AC$56),VLOOKUP(MIN(AC$33:AC$56),AC$33:AE$56,3,FALSE),IF(AC70&gt;MAX(AC$33:AC$56),VLOOKUP(MAX(AC$33:AC$56),AC$33:AE$56,3,FALSE),VLOOKUP(AE70,AC$33:AE$56,3,FALSE)))</f>
        <v>0.13</v>
      </c>
      <c r="AF72" s="178">
        <f>IF($AA$92&lt;$AB$92,AG72,AH72)</f>
        <v>0.13</v>
      </c>
      <c r="AG72" s="158">
        <f>IF(AF70&lt;MIN(AF$33:AF$56),VLOOKUP(MIN(AF$33:AF$56),AF$33:AH$56,3,FALSE),IF(AF70&gt;MAX(AF$33:AF$56),VLOOKUP(MAX(AF$33:AF$56),AF$33:AH$56,3,FALSE),VLOOKUP(AG70,AF$33:AH$56,3,FALSE)))</f>
        <v>0.13</v>
      </c>
      <c r="AH72" s="158">
        <f>IF(AF70&lt;MIN(AF$33:AF$56),VLOOKUP(MIN(AF$33:AF$56),AF$33:AH$56,3,FALSE),IF(AF70&gt;MAX(AF$33:AF$56),VLOOKUP(MAX(AF$33:AF$56),AF$33:AH$56,3,FALSE),VLOOKUP(AH70,AF$33:AH$56,3,FALSE)))</f>
        <v>0.13</v>
      </c>
      <c r="AI72" s="178">
        <f>IF($AA$92&lt;$AB$92,AJ72,AK72)</f>
        <v>0.13</v>
      </c>
      <c r="AJ72" s="158">
        <f>IF(AI70&lt;MIN(AI$33:AI$56),VLOOKUP(MIN(AI$33:AI$56),AI$33:AK$56,3,FALSE),IF(AI70&gt;MAX(AI$33:AI$56),VLOOKUP(MAX(AI$33:AI$56),AI$33:AK$56,3,FALSE),VLOOKUP(AJ70,AI$33:AK$56,3,FALSE)))</f>
        <v>0.13</v>
      </c>
      <c r="AK72" s="158">
        <f>IF(AI70&lt;MIN(AI$33:AI$56),VLOOKUP(MIN(AI$33:AI$56),AI$33:AK$56,3,FALSE),IF(AI70&gt;MAX(AI$33:AI$56),VLOOKUP(MAX(AI$33:AI$56),AI$33:AK$56,3,FALSE),VLOOKUP(AK70,AI$33:AK$56,3,FALSE)))</f>
        <v>0.13</v>
      </c>
      <c r="AL72" s="178">
        <f>IF($AA$92&lt;$AB$92,AM72,AN72)</f>
        <v>0.153</v>
      </c>
      <c r="AM72" s="158">
        <f>IF(AL70&lt;MIN(AL$33:AL$56),VLOOKUP(MIN(AL$33:AL$56),AL$33:AN$56,3,FALSE),IF(AL70&gt;MAX(AL$33:AL$56),VLOOKUP(MAX(AL$33:AL$56),AL$33:AN$56,3,FALSE),VLOOKUP(AM70,AL$33:AN$56,3,FALSE)))</f>
        <v>0.153</v>
      </c>
      <c r="AN72" s="158">
        <f>IF(AL70&lt;MIN(AL$33:AL$56),VLOOKUP(MIN(AL$33:AL$56),AL$33:AN$56,3,FALSE),IF(AL70&gt;MAX(AL$33:AL$56),VLOOKUP(MAX(AL$33:AL$56),AL$33:AN$56,3,FALSE),VLOOKUP(AN70,AL$33:AN$56,3,FALSE)))</f>
        <v>0.153</v>
      </c>
      <c r="AO72" s="178">
        <f>IF($AA$92&lt;$AB$92,AP72,AQ72)</f>
        <v>0.54</v>
      </c>
      <c r="AP72" s="158">
        <f>IF(AO70&lt;MIN(AO$33:AO$56),VLOOKUP(MIN(AO$33:AO$56),AO$33:AQ$56,3,FALSE),IF(AO70&gt;MAX(AO$33:AO$56),VLOOKUP(MAX(AO$33:AO$56),AO$33:AQ$56,3,FALSE),VLOOKUP(AP70,AO$33:AQ$56,3,FALSE)))</f>
        <v>0.54</v>
      </c>
      <c r="AQ72" s="158">
        <f>IF(AO70&lt;MIN(AO$33:AO$56),VLOOKUP(MIN(AO$33:AO$56),AO$33:AQ$56,3,FALSE),IF(AO70&gt;MAX(AO$33:AO$56),VLOOKUP(MAX(AO$33:AO$56),AO$33:AQ$56,3,FALSE),VLOOKUP(AQ70,AO$33:AQ$56,3,FALSE)))</f>
        <v>0.54</v>
      </c>
      <c r="AR72" s="178">
        <f>IF($AA$92&lt;$AB$92,AS72,AT72)</f>
        <v>0.54</v>
      </c>
      <c r="AS72" s="158">
        <f>IF(AR70&lt;MIN(AR$33:AR$56),VLOOKUP(MIN(AR$33:AR$56),AR$33:AT$56,3,FALSE),IF(AR70&gt;MAX(AR$33:AR$56),VLOOKUP(MAX(AR$33:AR$56),AR$33:AT$56,3,FALSE),VLOOKUP(AS70,AR$33:AT$56,3,FALSE)))</f>
        <v>0.54</v>
      </c>
      <c r="AT72" s="158">
        <f>IF(AR70&lt;MIN(AR$33:AR$56),VLOOKUP(MIN(AR$33:AR$56),AR$33:AT$56,3,FALSE),IF(AR70&gt;MAX(AR$33:AR$56),VLOOKUP(MAX(AR$33:AR$56),AR$33:AT$56,3,FALSE),VLOOKUP(AT70,AR$33:AT$56,3,FALSE)))</f>
        <v>0.54</v>
      </c>
      <c r="AU72" s="178">
        <f>IF($AA$92&lt;$AB$92,AV72,AW72)</f>
        <v>0.1</v>
      </c>
      <c r="AV72" s="158">
        <f>IF(AU70&lt;MIN(AU$33:AU$56),VLOOKUP(MIN(AU$33:AU$56),AU$33:AW$56,3,FALSE),IF(AU70&gt;MAX(AU$33:AU$56),VLOOKUP(MAX(AU$33:AU$56),AU$33:AW$56,3,FALSE),VLOOKUP(AV70,AU$33:AW$56,3,FALSE)))</f>
        <v>0.1</v>
      </c>
      <c r="AW72" s="158">
        <f>IF(AU70&lt;MIN(AU$33:AU$56),VLOOKUP(MIN(AU$33:AU$56),AU$33:AW$56,3,FALSE),IF(AU70&gt;MAX(AU$33:AU$56),VLOOKUP(MAX(AU$33:AU$56),AU$33:AW$56,3,FALSE),VLOOKUP(AW70,AU$33:AW$56,3,FALSE)))</f>
        <v>0.1</v>
      </c>
      <c r="AX72" s="178">
        <f>IF($AA$92&lt;$AB$92,AY72,AZ72)</f>
        <v>0.1</v>
      </c>
      <c r="AY72" s="158">
        <f>IF(AX70&lt;MIN(AX$33:AX$56),VLOOKUP(MIN(AX$33:AX$56),AX$33:AZ$56,3,FALSE),IF(AX70&gt;MAX(AX$33:AX$56),VLOOKUP(MAX(AX$33:AX$56),AX$33:AZ$56,3,FALSE),VLOOKUP(AY70,AX$33:AZ$56,3,FALSE)))</f>
        <v>0.1</v>
      </c>
      <c r="AZ72" s="158">
        <f>IF(AX70&lt;MIN(AX$33:AX$56),VLOOKUP(MIN(AX$33:AX$56),AX$33:AZ$56,3,FALSE),IF(AX70&gt;MAX(AX$33:AX$56),VLOOKUP(MAX(AX$33:AX$56),AX$33:AZ$56,3,FALSE),VLOOKUP(AZ70,AX$33:AZ$56,3,FALSE)))</f>
        <v>0.1</v>
      </c>
    </row>
    <row r="73" spans="1:52" ht="12.75" hidden="1" customHeight="1" x14ac:dyDescent="0.25">
      <c r="A73" s="147">
        <v>6</v>
      </c>
      <c r="B73" s="175" t="str">
        <f>IF('datos crudos'!$U$10="","",'datos crudos'!$U$10)</f>
        <v/>
      </c>
      <c r="C73" s="158">
        <f>IF(B73&lt;MIN(B$33:B$56),MIN(B$33:B$56),IF(B73&gt;MAX(B$33:B$56),MAX(B$33:B$56),INDEX(B$33:B$56,VLOOKUP(B73,B$33:$BA$56,COLUMNS(B$3:$BA$3),TRUE),1)))</f>
        <v>399.31700000000001</v>
      </c>
      <c r="D73" s="158">
        <f>IF(B73&lt;MIN(B$33:B$56),MIN(B$33:B$56),IF(B73&gt;MAX(B$33:B$56),MAX(B$33:B$56),INDEX(B$33:B$56,VLOOKUP(B73,B$33:$BA$56,COLUMNS(B$3:$BA$3),TRUE)+1,1)))</f>
        <v>399.31700000000001</v>
      </c>
      <c r="E73" s="175" t="str">
        <f>B73</f>
        <v/>
      </c>
      <c r="F73" s="158">
        <f>IF(E73&lt;MIN(E$33:E$56),MIN(E$33:E$56),IF(E73&gt;MAX(E$33:E$56),MAX(E$33:E$56),INDEX(E$33:E$56,VLOOKUP(E73,E$33:$BA$56,COLUMNS(B$3:$BA$3),TRUE),1)))</f>
        <v>270.39999999999998</v>
      </c>
      <c r="G73" s="158">
        <f>IF(E73&lt;MIN(E$33:E$56),MIN(E$33:E$56),IF(E73&gt;MAX(E$33:E$56),MAX(E$33:E$56),INDEX(E$33:E$56,VLOOKUP(E73,E$33:$BA$56,COLUMNS(B$3:$BA$3),TRUE)+1,1)))</f>
        <v>270.39999999999998</v>
      </c>
      <c r="H73" s="175" t="str">
        <f>B73</f>
        <v/>
      </c>
      <c r="I73" s="158">
        <f>IF(H73&lt;MIN(H$33:H$56),MIN(H$33:H$56),IF(H73&gt;MAX(H$33:H$56),MAX(H$33:H$56),INDEX(H$33:H$56,VLOOKUP(H73,H$33:$BA$56,COLUMNS(H$3:$BA$3),TRUE),1)))</f>
        <v>400</v>
      </c>
      <c r="J73" s="158">
        <f>IF(H73&lt;MIN(H$33:H$56),MIN(H$33:H$56),IF(H73&gt;MAX(H$33:H$56),MAX(H$33:H$56),INDEX(H$33:H$56,VLOOKUP(H73,H$33:$BA$56,COLUMNS(H$3:$BA$3),TRUE)+1,1)))</f>
        <v>400</v>
      </c>
      <c r="K73" s="175" t="str">
        <f>E73</f>
        <v/>
      </c>
      <c r="L73" s="164">
        <f>IF(K73&lt;MIN(K$33:K$56),MIN(K$33:K$56),IF(K73&gt;MAX(K$33:K$56),MAX(K$33:K$56),INDEX(K$33:K$56,VLOOKUP(K73,K$33:$BA$56,COLUMNS(K$3:$BA$3),TRUE),1)))</f>
        <v>139.19999999999999</v>
      </c>
      <c r="M73" s="158">
        <f>IF(K73&lt;MIN(K$33:K$56),MIN(K$33:K$56),IF(K73&gt;MAX(K$33:K$56),MAX(K$33:K$56),INDEX(K$33:K$56,VLOOKUP(K73,K$33:$BA$56,COLUMNS(K$3:$BA$3),TRUE)+1,1)))</f>
        <v>139.19999999999999</v>
      </c>
      <c r="N73" s="175" t="str">
        <f>B73</f>
        <v/>
      </c>
      <c r="O73" s="176">
        <f>IF(N73&lt;MIN(N$33:N$56),MIN(N$33:N$56),IF(N73&gt;MAX(N$33:N$56),MAX(N$33:N$56),INDEX(N$33:N$56,VLOOKUP(N73,N$33:$BA$56,COLUMNS(N$3:$BA$3),TRUE),1)))</f>
        <v>398.86700000000002</v>
      </c>
      <c r="P73" s="176">
        <f>IF(N73&lt;MIN(N$33:N$56),MIN(N$33:N$56),IF(N73&gt;MAX(N$33:N$56),MAX(N$33:N$56),INDEX(N$33:N$56,VLOOKUP(N73,N$33:$BA$56,COLUMNS(N$3:$BA$3),TRUE)+1,1)))</f>
        <v>398.86700000000002</v>
      </c>
      <c r="Q73" s="175" t="str">
        <f>E73</f>
        <v/>
      </c>
      <c r="R73" s="176">
        <f>IF(Q73&lt;MIN(Q$33:Q$56),MIN(Q$33:Q$56),IF(Q73&gt;MAX(Q$33:Q$56),MAX(Q$33:Q$56),INDEX(Q$33:Q$56,VLOOKUP(Q73,Q$33:$BA$56,COLUMNS(Q$3:$BA$3),TRUE),1)))</f>
        <v>399.16</v>
      </c>
      <c r="S73" s="176">
        <f>IF(Q73&lt;MIN(Q$33:Q$56),MIN(Q$33:Q$56),IF(Q73&gt;MAX(Q$33:Q$56),MAX(Q$33:Q$56),INDEX(Q$33:Q$56,VLOOKUP(Q73,Q$33:$BA$56,COLUMNS(Q$3:$BA$3),TRUE)+1,1)))</f>
        <v>399.16</v>
      </c>
      <c r="T73" s="175" t="str">
        <f>H73</f>
        <v/>
      </c>
      <c r="U73" s="176">
        <f>IF(T73&lt;MIN(T$33:T$56),MIN(T$33:T$56),IF(T73&gt;MAX(T$33:T$56),MAX(T$33:T$56),INDEX(T$33:T$56,VLOOKUP(T73,T$33:$BA$56,COLUMNS(T$3:$BA$3),TRUE),1)))</f>
        <v>100.1</v>
      </c>
      <c r="V73" s="176">
        <f>IF(T73&lt;MIN(T$33:T$56),MIN(T$33:T$56),IF(T73&gt;MAX(T$33:T$56),MAX(T$33:T$56),INDEX(T$33:T$56,VLOOKUP(T73,T$33:$BA$56,COLUMNS(T$3:$BA$3),TRUE)+1,1)))</f>
        <v>100.1</v>
      </c>
      <c r="W73" s="175" t="str">
        <f>B73</f>
        <v/>
      </c>
      <c r="X73" s="177" t="e">
        <f>IF(W73&lt;MIN(W$33:W$56),MIN(W$33:W$56),IF(W73&gt;MAX(W$33:W$56),MAX(W$33:W$56),INDEX(W$33:W$56,VLOOKUP(W73,W$33:$BA$56,COLUMNS(W$3:$BA$3),TRUE),1)))</f>
        <v>#N/A</v>
      </c>
      <c r="Y73" s="158" t="e">
        <f>IF(W73&lt;MIN(W$33:W$56),MIN(W$33:W$56),IF(W73&gt;MAX(W$33:W$56),MAX(W$33:W$56),INDEX(W$33:W$56,VLOOKUP(W73,W$33:$BA$56,COLUMNS(W$3:$BA$3),TRUE)+1,1)))</f>
        <v>#N/A</v>
      </c>
      <c r="Z73" s="175" t="str">
        <f>B73</f>
        <v/>
      </c>
      <c r="AA73" s="158">
        <f>IF(Z73&lt;MIN(Z$33:Z$56),MIN(Z$33:Z$56),IF(Z73&gt;MAX(Z$33:Z$56),MAX(Z$33:Z$56),INDEX(Z$33:Z$56,VLOOKUP(Z73,Z$33:$BA$56,COLUMNS(Z$3:$BA$3),TRUE),1)))</f>
        <v>139.87</v>
      </c>
      <c r="AB73" s="158">
        <f>IF(Z73&lt;MIN(Z$33:Z$56),MIN(Z$33:Z$56),IF(Z73&gt;MAX(Z$33:Z$56),MAX(Z$33:Z$56),INDEX(Z$33:Z$56,VLOOKUP(Z73,Z$33:$BA$56,COLUMNS(Z$3:$BA$3),TRUE)+1,1)))</f>
        <v>139.87</v>
      </c>
      <c r="AC73" s="175" t="str">
        <f>B73</f>
        <v/>
      </c>
      <c r="AD73" s="158">
        <f>IF(AC73&lt;MIN(AC$33:AC$56),MIN(AC$33:AC$56),IF(AC73&gt;MAX(AC$33:AC$56),MAX(AC$33:AC$56),INDEX(AC$33:AC$56,VLOOKUP(AC73,AC$33:$BA$56,COLUMNS(AC$3:$BA$3),TRUE),1)))</f>
        <v>139.87</v>
      </c>
      <c r="AE73" s="158">
        <f>IF(AC73&lt;MIN(AC$33:AC$56),MIN(AC$33:AC$56),IF(AC73&gt;MAX(AC$33:AC$56),MAX(AC$33:AC$56),INDEX(AC$33:AC$56,VLOOKUP(AC73,AC$33:$BA$56,COLUMNS(AC$3:$BA$3),TRUE)+1,1)))</f>
        <v>139.87</v>
      </c>
      <c r="AF73" s="175" t="str">
        <f>B73</f>
        <v/>
      </c>
      <c r="AG73" s="158">
        <f>IF(AF73&lt;MIN(AF$33:AF$56),MIN(AF$33:AF$56),IF(AF73&gt;MAX(AF$33:AF$56),MAX(AF$33:AF$56),INDEX(AF$33:AF$56,VLOOKUP(AF73,AF$33:$BA$56,COLUMNS(AF$3:$BA$3),TRUE),1)))</f>
        <v>139.87</v>
      </c>
      <c r="AH73" s="158">
        <f>IF(AF73&lt;MIN(AF$33:AF$56),MIN(AF$33:AF$56),IF(AF73&gt;MAX(AF$33:AF$56),MAX(AF$33:AF$56),INDEX(AF$33:AF$56,VLOOKUP(AF73,AF$33:$BA$56,COLUMNS(AF$3:$BA$3),TRUE)+1,1)))</f>
        <v>139.87</v>
      </c>
      <c r="AI73" s="175" t="str">
        <f>E73</f>
        <v/>
      </c>
      <c r="AJ73" s="158">
        <f>IF(AI73&lt;MIN(AI$33:AI$56),MIN(AI$33:AI$56),IF(AI73&gt;MAX(AI$33:AI$56),MAX(AI$33:AI$56),INDEX(AI$33:AI$56,VLOOKUP(AI73,AI$33:$BA$56,COLUMNS(AI$3:$BA$3),TRUE),1)))</f>
        <v>139.88</v>
      </c>
      <c r="AK73" s="158">
        <f>IF(AI73&lt;MIN(AI$33:AI$56),MIN(AI$33:AI$56),IF(AI73&gt;MAX(AI$33:AI$56),MAX(AI$33:AI$56),INDEX(AI$33:AI$56,VLOOKUP(AI73,AI$33:$BA$56,COLUMNS(AI$3:$BA$3),TRUE)+1,1)))</f>
        <v>139.88</v>
      </c>
      <c r="AL73" s="175" t="str">
        <f>H73</f>
        <v/>
      </c>
      <c r="AM73" s="158">
        <f>IF(AL73&lt;MIN(AL$33:AL$56),MIN(AL$33:AL$56),IF(AL73&gt;MAX(AL$33:AL$56),MAX(AL$33:AL$56),INDEX(AL$33:AL$56,VLOOKUP(AL73,AL$33:$BA$56,COLUMNS(AL$3:$BA$3),TRUE),1)))</f>
        <v>300.2</v>
      </c>
      <c r="AN73" s="158">
        <f>IF(AL73&lt;MIN(AL$33:AL$56),MIN(AL$33:AL$56),IF(AL73&gt;MAX(AL$33:AL$56),MAX(AL$33:AL$56),INDEX(AL$33:AL$56,VLOOKUP(AL73,AL$33:$BA$56,COLUMNS(AL$3:$BA$3),TRUE)+1,1)))</f>
        <v>300.2</v>
      </c>
      <c r="AO73" s="175" t="str">
        <f>K73</f>
        <v/>
      </c>
      <c r="AP73" s="158">
        <f>IF(AO73&lt;MIN(AO$33:AO$56),MIN(AO$33:AO$56),IF(AO73&gt;MAX(AO$33:AO$56),MAX(AO$33:AO$56),INDEX(AO$33:AO$56,VLOOKUP(AO73,AO$33:$BA$56,COLUMNS(AO$3:$BA$3),TRUE),1)))</f>
        <v>139.80000000000001</v>
      </c>
      <c r="AQ73" s="158">
        <f>IF(AO73&lt;MIN(AO$33:AO$56),MIN(AO$33:AO$56),IF(AO73&gt;MAX(AO$33:AO$56),MAX(AO$33:AO$56),INDEX(AO$33:AO$56,VLOOKUP(AO73,AO$33:$BA$56,COLUMNS(AO$3:$BA$3),TRUE)+1,1)))</f>
        <v>139.80000000000001</v>
      </c>
      <c r="AR73" s="175" t="str">
        <f>N73</f>
        <v/>
      </c>
      <c r="AS73" s="158">
        <f>IF(AR73&lt;MIN(AR$33:AR$56),MIN(AR$33:AR$56),IF(AR73&gt;MAX(AR$33:AR$56),MAX(AR$33:AR$56),INDEX(AR$33:AR$56,VLOOKUP(AR73,AR$33:$BA$56,COLUMNS(AR$3:$BA$3),TRUE),1)))</f>
        <v>139.9</v>
      </c>
      <c r="AT73" s="158">
        <f>IF(AR73&lt;MIN(AR$33:AR$56),MIN(AR$33:AR$56),IF(AR73&gt;MAX(AR$33:AR$56),MAX(AR$33:AR$56),INDEX(AR$33:AR$56,VLOOKUP(AR73,AR$33:$BA$56,COLUMNS(AR$3:$BA$3),TRUE)+1,1)))</f>
        <v>139.9</v>
      </c>
      <c r="AU73" s="175" t="str">
        <f>Q73</f>
        <v/>
      </c>
      <c r="AV73" s="158">
        <f>IF(AU73&lt;MIN(AU$33:AU$56),MIN(AU$33:AU$56),IF(AU73&gt;MAX(AU$33:AU$56),MAX(AU$33:AU$56),INDEX(AU$33:AU$56,VLOOKUP(AU73,AU$33:$BA$56,COLUMNS(AU$3:$BA$3),TRUE),1)))</f>
        <v>40.33</v>
      </c>
      <c r="AW73" s="158">
        <f>IF(AU73&lt;MIN(AU$33:AU$56),MIN(AU$33:AU$56),IF(AU73&gt;MAX(AU$33:AU$56),MAX(AU$33:AU$56),INDEX(AU$33:AU$56,VLOOKUP(AU73,AU$33:$BA$56,COLUMNS(AU$3:$BA$3),TRUE)+1,1)))</f>
        <v>40.33</v>
      </c>
      <c r="AX73" s="175" t="str">
        <f>Q73</f>
        <v/>
      </c>
      <c r="AY73" s="158">
        <f>IF(AX73&lt;MIN(AX$33:AX$56),MIN(AX$33:AX$56),IF(AX73&gt;MAX(AX$33:AX$56),MAX(AX$33:AX$56),INDEX(AX$33:AX$56,VLOOKUP(AX73,AX$33:$BA$56,COLUMNS(AX$3:$BA$3),TRUE),1)))</f>
        <v>36.67</v>
      </c>
      <c r="AZ73" s="158">
        <f>IF(AX73&lt;MIN(AX$33:AX$56),MIN(AX$33:AX$56),IF(AX73&gt;MAX(AX$33:AX$56),MAX(AX$33:AX$56),INDEX(AX$33:AX$56,VLOOKUP(AX73,AX$33:$BA$56,COLUMNS(AX$3:$BA$3),TRUE)+1,1)))</f>
        <v>36.67</v>
      </c>
    </row>
    <row r="74" spans="1:52" ht="12.75" hidden="1" customHeight="1" x14ac:dyDescent="0.25">
      <c r="A74" s="150" t="s">
        <v>29</v>
      </c>
      <c r="B74" s="178">
        <f>IF($C$93&lt;$D$93,$C$74,$D$74)</f>
        <v>0.54700000000000004</v>
      </c>
      <c r="C74" s="158">
        <f>IF(B73&lt;MIN(B$33:B$56),VLOOKUP(MIN(B$33:B$56),B$33:D$56,2,FALSE),IF(B73&gt;MAX(B$33:B$56),VLOOKUP(MAX(B$33:B$56),B$33:D$56,2,FALSE),VLOOKUP(C73,B$33:D$56,2,FALSE)))</f>
        <v>0.54700000000000004</v>
      </c>
      <c r="D74" s="158">
        <f>IF(B73&lt;MIN(B$33:B$56),VLOOKUP(MIN(B$33:B$56),B$33:D$56,2,FALSE),IF(B73&gt;MAX(B$33:B$56),VLOOKUP(MAX(B$33:B$56),B$33:D$56,2,FALSE),VLOOKUP(D73,B33:D56,2,FALSE)))</f>
        <v>0.54700000000000004</v>
      </c>
      <c r="E74" s="178">
        <f>IF($F$93&lt;$G$93,$F$74,$G$74)</f>
        <v>0.28799999999999998</v>
      </c>
      <c r="F74" s="158">
        <f>IF(E73&lt;MIN(E$33:E$56),VLOOKUP(MIN(E$33:E$56),E$33:G$56,2,FALSE),IF(E73&gt;MAX(E$33:E$56),VLOOKUP(MAX(E$33:E$56),E$33:G$56,2,FALSE),VLOOKUP(F73,E$33:G$56,2,FALSE)))</f>
        <v>0.28799999999999998</v>
      </c>
      <c r="G74" s="158">
        <f>IF(E73&lt;MIN(E$33:E$56),VLOOKUP(MIN(E$33:E$56),E$33:G$56,2,FALSE),IF(E73&gt;MAX(E$33:E$56),VLOOKUP(MAX(E$33:E$56),E$33:G$56,2,FALSE),VLOOKUP(G73,E48:G71,2,FALSE)))</f>
        <v>0.28799999999999998</v>
      </c>
      <c r="H74" s="178">
        <f>IF(I93&lt;J93,I74,J74)</f>
        <v>3.2000000000000001E-2</v>
      </c>
      <c r="I74" s="158">
        <f>IF(H73&lt;MIN(H$33:H$56),VLOOKUP(MIN(H$33:H$56),H$33:J$56,2,FALSE),IF(H73&gt;MAX(H$33:H$56),VLOOKUP(MAX(H$33:H$56),H$33:J$56,2,FALSE),VLOOKUP(I73,H$33:J$56,2,FALSE)))</f>
        <v>3.2000000000000001E-2</v>
      </c>
      <c r="J74" s="158">
        <f>IF(H73&lt;MIN(H$33:H$56),VLOOKUP(MIN(H$33:H$56),H$33:J$56,2,FALSE),IF(H73&gt;MAX(H$33:H$56),VLOOKUP(MAX(H$33:H$56),H$33:J$56,2,FALSE),VLOOKUP(J73,H33:J56,2,FALSE)))</f>
        <v>3.2000000000000001E-2</v>
      </c>
      <c r="K74" s="178">
        <f>IF(L93&lt;M93,L74,M74)</f>
        <v>-0.8</v>
      </c>
      <c r="L74" s="158">
        <f>IF(K73&lt;MIN(K$33:K$56),VLOOKUP(MIN(K$33:K$56),K$33:M$56,2,FALSE),IF(K73&gt;MAX(K$33:K$56),VLOOKUP(MAX(K$33:K$56),K$33:M$56,2,FALSE),VLOOKUP(L73,K$33:M$56,2,FALSE)))</f>
        <v>-0.8</v>
      </c>
      <c r="M74" s="158">
        <f>IF(K73&lt;MIN(K$33:K$56),VLOOKUP(MIN(K$33:K$56),K$33:M$56,2,FALSE),IF(K73&gt;MAX(K$33:K$56),VLOOKUP(MAX(K$33:K$56),K$33:M$56,2,FALSE),VLOOKUP(M73,K33:M56,2,FALSE)))</f>
        <v>-0.8</v>
      </c>
      <c r="N74" s="178">
        <f>IF(O93&lt;P93,O74,P74)</f>
        <v>0.5363</v>
      </c>
      <c r="O74" s="176">
        <f>IF(N73&lt;MIN(N$33:N$56),VLOOKUP(MIN(N$33:N$56),N$33:P$56,2,FALSE),IF(N73&gt;MAX(N$33:N$56),VLOOKUP(MAX(N$33:N$56),N$33:P$56,2,FALSE),VLOOKUP(O73,N$33:P$56,2,FALSE)))</f>
        <v>0.5363</v>
      </c>
      <c r="P74" s="176">
        <f>IF(N73&lt;MIN(N$33:N$56),VLOOKUP(MIN(N$33:N$56),N$33:P$56,2,FALSE),IF(N73&gt;MAX(N$33:N$56),VLOOKUP(MAX(N$33:N$56),N$33:P$56,2,FALSE),VLOOKUP(P73,N33:P56,2,FALSE)))</f>
        <v>0.5363</v>
      </c>
      <c r="Q74" s="178">
        <f>IF(R93&lt;S93,R74,S74)</f>
        <v>-1.0249999999999999</v>
      </c>
      <c r="R74" s="176">
        <f>IF(Q73&lt;MIN(Q$33:Q$56),VLOOKUP(MIN(Q$33:Q$56),Q$33:S$56,2,FALSE),IF(Q73&gt;MAX(Q$33:Q$56),VLOOKUP(MAX(Q$33:Q$56),Q$33:S$56,2,FALSE),VLOOKUP(R73,Q$33:S$56,2,FALSE)))</f>
        <v>-1.0249999999999999</v>
      </c>
      <c r="S74" s="176">
        <f>IF(Q73&lt;MIN(Q$33:Q$56),VLOOKUP(MIN(Q$33:Q$56),Q$33:S$56,2,FALSE),IF(Q73&gt;MAX(Q$33:Q$56),VLOOKUP(MAX(Q$33:Q$56),Q$33:S$56,2,FALSE),VLOOKUP(S73,Q33:S56,2,FALSE)))</f>
        <v>-1.0249999999999999</v>
      </c>
      <c r="T74" s="178">
        <f>IF(U93&lt;V93,U74,V74)</f>
        <v>0.19</v>
      </c>
      <c r="U74" s="176">
        <f>IF(T73&lt;MIN(T$33:T$56),VLOOKUP(MIN(T$33:T$56),T$33:V$56,2,FALSE),IF(T73&gt;MAX(T$33:T$56),VLOOKUP(MAX(T$33:T$56),T$33:V$56,2,FALSE),VLOOKUP(U73,T$33:V$56,2,FALSE)))</f>
        <v>0.19</v>
      </c>
      <c r="V74" s="176">
        <f>IF(T73&lt;MIN(T$33:T$56),VLOOKUP(MIN(T$33:T$56),T$33:V$56,2,FALSE),IF(T73&gt;MAX(T$33:T$56),VLOOKUP(MAX(T$33:T$56),T$33:V$56,2,FALSE),VLOOKUP(V73,T33:V56,2,FALSE)))</f>
        <v>0.19</v>
      </c>
      <c r="W74" s="178" t="e">
        <f>IF(W73&lt;=MIN(W$33:W$56),VLOOKUP(MIN(W$33:W$56),W$33:Y$56,2,FALSE),IF(W73&gt;=MAX(W$33:W$56),VLOOKUP(MAX(W$33:W$56),W$33:Y$56,2,FALSE),X74+((#REF!-X73)/(Y73-X73))*(Y74-X74)))</f>
        <v>#N/A</v>
      </c>
      <c r="X74" s="177" t="e">
        <f>IF(W73&lt;MIN(W$33:W$56),VLOOKUP(MIN(W$33:W$56),W$33:Y$56,2,FALSE),IF(W73&gt;MAX(W$33:W$56),VLOOKUP(MAX(W$33:W$56),W$33:Y$56,2,FALSE),VLOOKUP(X73,W$33:Y$56,2,FALSE)))</f>
        <v>#N/A</v>
      </c>
      <c r="Y74" s="158" t="e">
        <f>IF(W73&lt;MIN(W$33:W$56),VLOOKUP(MIN(W$33:W$56),W$33:Y$56,2,FALSE),IF(W73&gt;MAX(W$33:W$56),VLOOKUP(MAX(W$33:W$56),W$33:Y$56,2,FALSE),VLOOKUP(Y73,W33:Y56,2,FALSE)))</f>
        <v>#N/A</v>
      </c>
      <c r="Z74" s="178">
        <f>IF($AA$93&lt;$AB$93,AA74,AB74)</f>
        <v>0</v>
      </c>
      <c r="AA74" s="158">
        <f>IF(Z73&lt;MIN(Z$33:Z$56),VLOOKUP(MIN(Z$33:Z$56),Z$33:AB$56,2,FALSE),IF(Z73&gt;MAX(Z$33:Z$56),VLOOKUP(MAX(Z$33:Z$56),Z$33:AB$56,2,FALSE),VLOOKUP(AA73,Z$33:AB$56,2,FALSE)))</f>
        <v>0</v>
      </c>
      <c r="AB74" s="158">
        <f>IF(Z73&lt;MIN(Z$33:Z$56),VLOOKUP(MIN(Z$33:Z$56),Z$33:AB$56,2,FALSE),IF(Z73&gt;MAX(Z$33:Z$56),VLOOKUP(MAX(Z$33:Z$56),Z$33:AB$56,2,FALSE),VLOOKUP(AB73,Z33:AB56,2,FALSE)))</f>
        <v>0</v>
      </c>
      <c r="AC74" s="178">
        <f>IF($AD$88&lt;$AE$88,AD74,AE74)</f>
        <v>0</v>
      </c>
      <c r="AD74" s="158">
        <f>IF(AC73&lt;MIN(AC$33:AC$56),VLOOKUP(MIN(AC$33:AC$56),AC$33:AE$56,2,FALSE),IF(AC73&gt;MAX(AC$33:AC$56),VLOOKUP(MAX(AC$33:AC$56),AC$33:AE$56,2,FALSE),VLOOKUP(AD73,AC$33:AE$56,2,FALSE)))</f>
        <v>0</v>
      </c>
      <c r="AE74" s="158">
        <f>IF(AC73&lt;MIN(AC$33:AC$56),VLOOKUP(MIN(AC$33:AC$56),AC$33:AE$56,2,FALSE),IF(AC73&gt;MAX(AC$33:AC$56),VLOOKUP(MAX(AC$33:AC$56),AC$33:AE$56,2,FALSE),VLOOKUP(AE73,AC33:AE56,2,FALSE)))</f>
        <v>0</v>
      </c>
      <c r="AF74" s="178">
        <f>IF($AG$88&lt;$AH$88,AG74,AH74)</f>
        <v>0</v>
      </c>
      <c r="AG74" s="158">
        <f>IF(AF73&lt;MIN(AF$33:AF$56),VLOOKUP(MIN(AF$33:AF$56),AF$33:AH$56,2,FALSE),IF(AF73&gt;MAX(AF$33:AF$56),VLOOKUP(MAX(AF$33:AF$56),AF$33:AH$56,2,FALSE),VLOOKUP(AG73,AF$33:AH$56,2,FALSE)))</f>
        <v>0</v>
      </c>
      <c r="AH74" s="158">
        <f>IF(AF73&lt;MIN(AF$33:AF$56),VLOOKUP(MIN(AF$33:AF$56),AF$33:AH$56,2,FALSE),IF(AF73&gt;MAX(AF$33:AF$56),VLOOKUP(MAX(AF$33:AF$56),AF$33:AH$56,2,FALSE),VLOOKUP(AH73,AF33:AH56,2,FALSE)))</f>
        <v>0</v>
      </c>
      <c r="AI74" s="178">
        <f>IF($AG$88&lt;$AH$88,AJ74,AK74)</f>
        <v>0</v>
      </c>
      <c r="AJ74" s="158">
        <f>IF(AI73&lt;MIN(AI$33:AI$56),VLOOKUP(MIN(AI$33:AI$56),AI$33:AK$56,2,FALSE),IF(AI73&gt;MAX(AI$33:AI$56),VLOOKUP(MAX(AI$33:AI$56),AI$33:AK$56,2,FALSE),VLOOKUP(AJ73,AI$33:AK$56,2,FALSE)))</f>
        <v>0</v>
      </c>
      <c r="AK74" s="158">
        <f>IF(AI73&lt;MIN(AI$33:AI$56),VLOOKUP(MIN(AI$33:AI$56),AI$33:AK$56,2,FALSE),IF(AI73&gt;MAX(AI$33:AI$56),VLOOKUP(MAX(AI$33:AI$56),AI$33:AK$56,2,FALSE),VLOOKUP(AK73,AI33:AK56,2,FALSE)))</f>
        <v>0</v>
      </c>
      <c r="AL74" s="178">
        <f>IF($AG$88&lt;$AH$88,AM74,AN74)</f>
        <v>0.153</v>
      </c>
      <c r="AM74" s="158">
        <f>IF(AL73&lt;MIN(AL$33:AL$56),VLOOKUP(MIN(AL$33:AL$56),AL$33:AN$56,2,FALSE),IF(AL73&gt;MAX(AL$33:AL$56),VLOOKUP(MAX(AL$33:AL$56),AL$33:AN$56,2,FALSE),VLOOKUP(AM73,AL$33:AN$56,2,FALSE)))</f>
        <v>0.153</v>
      </c>
      <c r="AN74" s="158">
        <f>IF(AL73&lt;MIN(AL$33:AL$56),VLOOKUP(MIN(AL$33:AL$56),AL$33:AN$56,2,FALSE),IF(AL73&gt;MAX(AL$33:AL$56),VLOOKUP(MAX(AL$33:AL$56),AL$33:AN$56,2,FALSE),VLOOKUP(AN73,AL33:AN56,2,FALSE)))</f>
        <v>0.153</v>
      </c>
      <c r="AO74" s="178">
        <f>IF($AG$88&lt;$AH$88,AP74,AQ74)</f>
        <v>-0.2</v>
      </c>
      <c r="AP74" s="158">
        <f>IF(AO73&lt;MIN(AO$33:AO$56),VLOOKUP(MIN(AO$33:AO$56),AO$33:AQ$56,2,FALSE),IF(AO73&gt;MAX(AO$33:AO$56),VLOOKUP(MAX(AO$33:AO$56),AO$33:AQ$56,2,FALSE),VLOOKUP(AP73,AO$33:AQ$56,2,FALSE)))</f>
        <v>-0.2</v>
      </c>
      <c r="AQ74" s="158">
        <f>IF(AO73&lt;MIN(AO$33:AO$56),VLOOKUP(MIN(AO$33:AO$56),AO$33:AQ$56,2,FALSE),IF(AO73&gt;MAX(AO$33:AO$56),VLOOKUP(MAX(AO$33:AO$56),AO$33:AQ$56,2,FALSE),VLOOKUP(AQ73,AO33:AQ56,2,FALSE)))</f>
        <v>-0.2</v>
      </c>
      <c r="AR74" s="178">
        <f>IF($AG$88&lt;$AH$88,AS74,AT74)</f>
        <v>-0.1</v>
      </c>
      <c r="AS74" s="158">
        <f>IF(AR73&lt;MIN(AR$33:AR$56),VLOOKUP(MIN(AR$33:AR$56),AR$33:AT$56,2,FALSE),IF(AR73&gt;MAX(AR$33:AR$56),VLOOKUP(MAX(AR$33:AR$56),AR$33:AT$56,2,FALSE),VLOOKUP(AS73,AR$33:AT$56,2,FALSE)))</f>
        <v>-0.1</v>
      </c>
      <c r="AT74" s="158">
        <f>IF(AR73&lt;MIN(AR$33:AR$56),VLOOKUP(MIN(AR$33:AR$56),AR$33:AT$56,2,FALSE),IF(AR73&gt;MAX(AR$33:AR$56),VLOOKUP(MAX(AR$33:AR$56),AR$33:AT$56,2,FALSE),VLOOKUP(AT73,AR33:AT56,2,FALSE)))</f>
        <v>-0.1</v>
      </c>
      <c r="AU74" s="178">
        <f>IF($AG$88&lt;$AH$88,AV74,AW74)</f>
        <v>0.03</v>
      </c>
      <c r="AV74" s="158">
        <f>IF(AU73&lt;MIN(AU$33:AU$56),VLOOKUP(MIN(AU$33:AU$56),AU$33:AW$56,2,FALSE),IF(AU73&gt;MAX(AU$33:AU$56),VLOOKUP(MAX(AU$33:AU$56),AU$33:AW$56,2,FALSE),VLOOKUP(AV73,AU$33:AW$56,2,FALSE)))</f>
        <v>0.03</v>
      </c>
      <c r="AW74" s="158">
        <f>IF(AU73&lt;MIN(AU$33:AU$56),VLOOKUP(MIN(AU$33:AU$56),AU$33:AW$56,2,FALSE),IF(AU73&gt;MAX(AU$33:AU$56),VLOOKUP(MAX(AU$33:AU$56),AU$33:AW$56,2,FALSE),VLOOKUP(AW73,AU33:AW56,2,FALSE)))</f>
        <v>0.03</v>
      </c>
      <c r="AX74" s="178">
        <f>IF($AG$88&lt;$AH$88,AY74,AZ74)</f>
        <v>7.0000000000000007E-2</v>
      </c>
      <c r="AY74" s="158">
        <f>IF(AX73&lt;MIN(AX$33:AX$56),VLOOKUP(MIN(AX$33:AX$56),AX$33:AZ$56,2,FALSE),IF(AX73&gt;MAX(AX$33:AX$56),VLOOKUP(MAX(AX$33:AX$56),AX$33:AZ$56,2,FALSE),VLOOKUP(AY73,AX$33:AZ$56,2,FALSE)))</f>
        <v>7.0000000000000007E-2</v>
      </c>
      <c r="AZ74" s="158">
        <f>IF(AX73&lt;MIN(AX$33:AX$56),VLOOKUP(MIN(AX$33:AX$56),AX$33:AZ$56,2,FALSE),IF(AX73&gt;MAX(AX$33:AX$56),VLOOKUP(MAX(AX$33:AX$56),AX$33:AZ$56,2,FALSE),VLOOKUP(AZ73,AX33:AZ56,2,FALSE)))</f>
        <v>7.0000000000000007E-2</v>
      </c>
    </row>
    <row r="75" spans="1:52" ht="12.75" hidden="1" customHeight="1" x14ac:dyDescent="0.25">
      <c r="A75" s="150" t="s">
        <v>30</v>
      </c>
      <c r="B75" s="179" t="str">
        <f>IF(B73="","0",IF($C$93&lt;$D$93,$C$75,$D$75))</f>
        <v>0</v>
      </c>
      <c r="C75" s="158">
        <f>IF(B73&lt;MIN(B$33:B$56),VLOOKUP(MIN(B$33:B$56),B$33:D$56,3,FALSE),IF(B73&gt;MAX(B$33:B$56),VLOOKUP(MAX(B$33:B$56),B$33:D$56,3,FALSE),VLOOKUP(C73,B$33:D$56,3,FALSE)))</f>
        <v>4.2000000000000003E-2</v>
      </c>
      <c r="D75" s="158">
        <f>IF(B73&lt;MIN(B$33:B$56),VLOOKUP(MIN(B$33:B$56),B$33:D$56,3,FALSE),IF(B73&gt;MAX(B$33:B$56),VLOOKUP(MAX(B$33:B$56),B$33:D$56,3,FALSE),VLOOKUP(D73,B$33:D$56,3,FALSE)))</f>
        <v>4.2000000000000003E-2</v>
      </c>
      <c r="E75" s="178" t="str">
        <f>IF(E73="","0",IF(F93&lt;G93,F75,G75))</f>
        <v>0</v>
      </c>
      <c r="F75" s="158">
        <f>IF(E73&lt;MIN(E$33:E$56),VLOOKUP(MIN(E$33:E$56),E$33:G$56,3,FALSE),IF(E73&gt;MAX(E$33:E$56),VLOOKUP(MAX(E$33:E$56),E$33:G$56,3,FALSE),VLOOKUP(F73,E$33:G$56,3,FALSE)))</f>
        <v>3.1E-2</v>
      </c>
      <c r="G75" s="158">
        <f>IF(E73&lt;MIN(E$33:E$56),VLOOKUP(MIN(E$33:E$56),E$33:G$56,3,FALSE),IF(E73&gt;MAX(E$33:E$56),VLOOKUP(MAX(E$33:E$56),E$33:G$56,3,FALSE),VLOOKUP(G73,E$33:G$56,3,FALSE)))</f>
        <v>3.1E-2</v>
      </c>
      <c r="H75" s="178" t="str">
        <f>IF(H73="","0",IF(I93&lt;J93,I75,J75))</f>
        <v>0</v>
      </c>
      <c r="I75" s="158">
        <f>IF(H73&lt;MIN(H$33:H$56),VLOOKUP(MIN(H$33:H$56),H$33:J$56,3,FALSE),IF(H73&gt;MAX(H$33:H$56),VLOOKUP(MAX(H$33:H$56),H$33:J$56,3,FALSE),VLOOKUP(I73,H$33:J$56,3,FALSE)))</f>
        <v>0.11</v>
      </c>
      <c r="J75" s="158">
        <f>IF(H73&lt;MIN(H$33:H$56),VLOOKUP(MIN(H$33:H$56),H$33:J$56,3,FALSE),IF(H73&gt;MAX(H$33:H$56),VLOOKUP(MAX(H$33:H$56),H$33:J$56,3,FALSE),VLOOKUP(J73,H$33:J$56,3,FALSE)))</f>
        <v>0.11</v>
      </c>
      <c r="K75" s="178" t="str">
        <f>IF(K73="","0",IF(L93&lt;M93,L75,M75))</f>
        <v>0</v>
      </c>
      <c r="L75" s="158">
        <f>IF(K73&lt;MIN(K$33:K$56),VLOOKUP(MIN(K$33:K$56),K$33:M$56,3,FALSE),IF(K73&gt;MAX(K$33:K$56),VLOOKUP(MAX(K$33:K$56),K$33:M$56,3,FALSE),VLOOKUP(L73,K$33:M$56,3,FALSE)))</f>
        <v>0.54</v>
      </c>
      <c r="M75" s="158">
        <f>IF(K73&lt;MIN(K$33:K$56),VLOOKUP(MIN(K$33:K$56),K$33:M$56,3,FALSE),IF(K73&gt;MAX(K$33:K$56),VLOOKUP(MAX(K$33:K$56),K$33:M$56,3,FALSE),VLOOKUP(M73,K$33:M$56,3,FALSE)))</f>
        <v>0.54</v>
      </c>
      <c r="N75" s="178">
        <f>IF(O93&lt;P93,O75,P75)</f>
        <v>2.1000000000000001E-2</v>
      </c>
      <c r="O75" s="176">
        <f>IF(N73&lt;MIN(N$33:N$56),VLOOKUP(MIN(N$33:N$56),N$33:P$56,3,FALSE),IF(N73&gt;MAX(N$33:N$56),VLOOKUP(MAX(N$33:N$56),N$33:P$56,3,FALSE),VLOOKUP(O73,N$33:P$56,3,FALSE)))</f>
        <v>2.1000000000000001E-2</v>
      </c>
      <c r="P75" s="176">
        <f>IF(N73&lt;MIN(N$33:N$56),VLOOKUP(MIN(N$33:N$56),N$33:P$56,3,FALSE),IF(N73&gt;MAX(N$33:N$56),VLOOKUP(MAX(N$33:N$56),N$33:P$56,3,FALSE),VLOOKUP(P73,N$33:P$56,3,FALSE)))</f>
        <v>2.1000000000000001E-2</v>
      </c>
      <c r="Q75" s="178">
        <f>IF(R93&lt;S93,R75,S75)</f>
        <v>6.2E-2</v>
      </c>
      <c r="R75" s="176">
        <f>IF(Q73&lt;MIN(Q$33:Q$56),VLOOKUP(MIN(Q$33:Q$56),Q$33:S$56,3,FALSE),IF(Q73&gt;MAX(Q$33:Q$56),VLOOKUP(MAX(Q$33:Q$56),Q$33:S$56,3,FALSE),VLOOKUP(R73,Q$33:S$56,3,FALSE)))</f>
        <v>6.2E-2</v>
      </c>
      <c r="S75" s="176">
        <f>IF(Q73&lt;MIN(Q$33:Q$56),VLOOKUP(MIN(Q$33:Q$56),Q$33:S$56,3,FALSE),IF(Q73&gt;MAX(Q$33:Q$56),VLOOKUP(MAX(Q$33:Q$56),Q$33:S$56,3,FALSE),VLOOKUP(S73,Q$33:S$56,3,FALSE)))</f>
        <v>6.2E-2</v>
      </c>
      <c r="T75" s="178">
        <f>IF(U93&lt;V93,U75,V75)</f>
        <v>0.14199999999999999</v>
      </c>
      <c r="U75" s="176">
        <f>IF(T73&lt;MIN(T$33:T$56),VLOOKUP(MIN(T$33:T$56),T$33:V$56,3,FALSE),IF(T73&gt;MAX(T$33:T$56),VLOOKUP(MAX(T$33:T$56),T$33:V$56,3,FALSE),VLOOKUP(U73,T$33:V$56,3,FALSE)))</f>
        <v>0.14199999999999999</v>
      </c>
      <c r="V75" s="176">
        <f>IF(T73&lt;MIN(T$33:T$56),VLOOKUP(MIN(T$33:T$56),T$33:V$56,3,FALSE),IF(T73&gt;MAX(T$33:T$56),VLOOKUP(MAX(T$33:T$56),T$33:V$56,3,FALSE),VLOOKUP(V73,T$33:V$56,3,FALSE)))</f>
        <v>0.14199999999999999</v>
      </c>
      <c r="W75" s="178" t="e">
        <f>IF(W73&lt;=MIN(W$33:W$56),VLOOKUP(MIN(W$33:W$56),W$33:Y$56,3,FALSE),IF(W73&gt;=MAX(W$33:W$56),VLOOKUP(MAX(W$33:W$56),W$33:Y$56,3,FALSE),X75+((#REF!-X73)/(Y73-X73))*(Y75-X75)))</f>
        <v>#N/A</v>
      </c>
      <c r="X75" s="177" t="e">
        <f>IF(W73&lt;MIN(W$33:W$56),VLOOKUP(MIN(W$33:W$56),W$33:Y$56,3,FALSE),IF(W73&gt;MAX(W$33:W$56),VLOOKUP(MAX(W$33:W$56),W$33:Y$56,3,FALSE),VLOOKUP(X73,W$33:Y$56,3,FALSE)))</f>
        <v>#N/A</v>
      </c>
      <c r="Y75" s="158" t="e">
        <f>IF(W73&lt;MIN(W$33:W$56),VLOOKUP(MIN(W$33:W$56),W$33:Y$56,3,FALSE),IF(W73&gt;MAX(W$33:W$56),VLOOKUP(MAX(W$33:W$56),W$33:Y$56,3,FALSE),VLOOKUP(Y73,W$33:Y$56,3,FALSE)))</f>
        <v>#N/A</v>
      </c>
      <c r="Z75" s="178">
        <f>IF($AA$93&lt;$AB$93,AA75,AB75)</f>
        <v>0.13</v>
      </c>
      <c r="AA75" s="158">
        <f>IF(Z73&lt;MIN(Z$33:Z$56),VLOOKUP(MIN(Z$33:Z$56),Z$33:AB$56,3,FALSE),IF(Z73&gt;MAX(Z$33:Z$56),VLOOKUP(MAX(Z$33:Z$56),Z$33:AB$56,3,FALSE),VLOOKUP(AA73,Z$33:AB$56,3,FALSE)))</f>
        <v>0.13</v>
      </c>
      <c r="AB75" s="158">
        <f>IF(Z73&lt;MIN(Z$33:Z$56),VLOOKUP(MIN(Z$33:Z$56),Z$33:AB$56,3,FALSE),IF(Z73&gt;MAX(Z$33:Z$56),VLOOKUP(MAX(Z$33:Z$56),Z$33:AB$56,3,FALSE),VLOOKUP(AB73,Z$33:AB$56,3,FALSE)))</f>
        <v>0.13</v>
      </c>
      <c r="AC75" s="178">
        <f>IF($AD$88&lt;$AE$88,AD75,AE75)</f>
        <v>0.13</v>
      </c>
      <c r="AD75" s="158">
        <f>IF(AC73&lt;MIN(AC$33:AC$56),VLOOKUP(MIN(AC$33:AC$56),AC$33:AE$56,3,FALSE),IF(AC73&gt;MAX(AC$33:AC$56),VLOOKUP(MAX(AC$33:AC$56),AC$33:AE$56,3,FALSE),VLOOKUP(AD73,AC$33:AE$56,3,FALSE)))</f>
        <v>0.13</v>
      </c>
      <c r="AE75" s="158">
        <f>IF(AC73&lt;MIN(AC$33:AC$56),VLOOKUP(MIN(AC$33:AC$56),AC$33:AE$56,3,FALSE),IF(AC73&gt;MAX(AC$33:AC$56),VLOOKUP(MAX(AC$33:AC$56),AC$33:AE$56,3,FALSE),VLOOKUP(AE73,AC$33:AE$56,3,FALSE)))</f>
        <v>0.13</v>
      </c>
      <c r="AF75" s="178">
        <f>IF($AG$88&lt;$AH$88,AG75,AH75)</f>
        <v>0.13</v>
      </c>
      <c r="AG75" s="158">
        <f>IF(AF73&lt;MIN(AF$33:AF$56),VLOOKUP(MIN(AF$33:AF$56),AF$33:AH$56,3,FALSE),IF(AF73&gt;MAX(AF$33:AF$56),VLOOKUP(MAX(AF$33:AF$56),AF$33:AH$56,3,FALSE),VLOOKUP(AG73,AF$33:AH$56,3,FALSE)))</f>
        <v>0.13</v>
      </c>
      <c r="AH75" s="158">
        <f>IF(AF73&lt;MIN(AF$33:AF$56),VLOOKUP(MIN(AF$33:AF$56),AF$33:AH$56,3,FALSE),IF(AF73&gt;MAX(AF$33:AF$56),VLOOKUP(MAX(AF$33:AF$56),AF$33:AH$56,3,FALSE),VLOOKUP(AH73,AF$33:AH$56,3,FALSE)))</f>
        <v>0.13</v>
      </c>
      <c r="AI75" s="178">
        <f>IF($AG$88&lt;$AH$88,AJ75,AK75)</f>
        <v>0.13</v>
      </c>
      <c r="AJ75" s="158">
        <f>IF(AI73&lt;MIN(AI$33:AI$56),VLOOKUP(MIN(AI$33:AI$56),AI$33:AK$56,3,FALSE),IF(AI73&gt;MAX(AI$33:AI$56),VLOOKUP(MAX(AI$33:AI$56),AI$33:AK$56,3,FALSE),VLOOKUP(AJ73,AI$33:AK$56,3,FALSE)))</f>
        <v>0.13</v>
      </c>
      <c r="AK75" s="158">
        <f>IF(AI73&lt;MIN(AI$33:AI$56),VLOOKUP(MIN(AI$33:AI$56),AI$33:AK$56,3,FALSE),IF(AI73&gt;MAX(AI$33:AI$56),VLOOKUP(MAX(AI$33:AI$56),AI$33:AK$56,3,FALSE),VLOOKUP(AK73,AI$33:AK$56,3,FALSE)))</f>
        <v>0.13</v>
      </c>
      <c r="AL75" s="178">
        <f>IF($AG$88&lt;$AH$88,AM75,AN75)</f>
        <v>0.153</v>
      </c>
      <c r="AM75" s="158">
        <f>IF(AL73&lt;MIN(AL$33:AL$56),VLOOKUP(MIN(AL$33:AL$56),AL$33:AN$56,3,FALSE),IF(AL73&gt;MAX(AL$33:AL$56),VLOOKUP(MAX(AL$33:AL$56),AL$33:AN$56,3,FALSE),VLOOKUP(AM73,AL$33:AN$56,3,FALSE)))</f>
        <v>0.153</v>
      </c>
      <c r="AN75" s="158">
        <f>IF(AL73&lt;MIN(AL$33:AL$56),VLOOKUP(MIN(AL$33:AL$56),AL$33:AN$56,3,FALSE),IF(AL73&gt;MAX(AL$33:AL$56),VLOOKUP(MAX(AL$33:AL$56),AL$33:AN$56,3,FALSE),VLOOKUP(AN73,AL$33:AN$56,3,FALSE)))</f>
        <v>0.153</v>
      </c>
      <c r="AO75" s="178">
        <f>IF($AG$88&lt;$AH$88,AP75,AQ75)</f>
        <v>0.54</v>
      </c>
      <c r="AP75" s="158">
        <f>IF(AO73&lt;MIN(AO$33:AO$56),VLOOKUP(MIN(AO$33:AO$56),AO$33:AQ$56,3,FALSE),IF(AO73&gt;MAX(AO$33:AO$56),VLOOKUP(MAX(AO$33:AO$56),AO$33:AQ$56,3,FALSE),VLOOKUP(AP73,AO$33:AQ$56,3,FALSE)))</f>
        <v>0.54</v>
      </c>
      <c r="AQ75" s="158">
        <f>IF(AO73&lt;MIN(AO$33:AO$56),VLOOKUP(MIN(AO$33:AO$56),AO$33:AQ$56,3,FALSE),IF(AO73&gt;MAX(AO$33:AO$56),VLOOKUP(MAX(AO$33:AO$56),AO$33:AQ$56,3,FALSE),VLOOKUP(AQ73,AO$33:AQ$56,3,FALSE)))</f>
        <v>0.54</v>
      </c>
      <c r="AR75" s="178">
        <f>IF($AG$88&lt;$AH$88,AS75,AT75)</f>
        <v>0.54</v>
      </c>
      <c r="AS75" s="158">
        <f>IF(AR73&lt;MIN(AR$33:AR$56),VLOOKUP(MIN(AR$33:AR$56),AR$33:AT$56,3,FALSE),IF(AR73&gt;MAX(AR$33:AR$56),VLOOKUP(MAX(AR$33:AR$56),AR$33:AT$56,3,FALSE),VLOOKUP(AS73,AR$33:AT$56,3,FALSE)))</f>
        <v>0.54</v>
      </c>
      <c r="AT75" s="158">
        <f>IF(AR73&lt;MIN(AR$33:AR$56),VLOOKUP(MIN(AR$33:AR$56),AR$33:AT$56,3,FALSE),IF(AR73&gt;MAX(AR$33:AR$56),VLOOKUP(MAX(AR$33:AR$56),AR$33:AT$56,3,FALSE),VLOOKUP(AT73,AR$33:AT$56,3,FALSE)))</f>
        <v>0.54</v>
      </c>
      <c r="AU75" s="178">
        <f>IF($AG$88&lt;$AH$88,AV75,AW75)</f>
        <v>0.1</v>
      </c>
      <c r="AV75" s="158">
        <f>IF(AU73&lt;MIN(AU$33:AU$56),VLOOKUP(MIN(AU$33:AU$56),AU$33:AW$56,3,FALSE),IF(AU73&gt;MAX(AU$33:AU$56),VLOOKUP(MAX(AU$33:AU$56),AU$33:AW$56,3,FALSE),VLOOKUP(AV73,AU$33:AW$56,3,FALSE)))</f>
        <v>0.1</v>
      </c>
      <c r="AW75" s="158">
        <f>IF(AU73&lt;MIN(AU$33:AU$56),VLOOKUP(MIN(AU$33:AU$56),AU$33:AW$56,3,FALSE),IF(AU73&gt;MAX(AU$33:AU$56),VLOOKUP(MAX(AU$33:AU$56),AU$33:AW$56,3,FALSE),VLOOKUP(AW73,AU$33:AW$56,3,FALSE)))</f>
        <v>0.1</v>
      </c>
      <c r="AX75" s="178">
        <f>IF($AG$88&lt;$AH$88,AY75,AZ75)</f>
        <v>0.1</v>
      </c>
      <c r="AY75" s="158">
        <f>IF(AX73&lt;MIN(AX$33:AX$56),VLOOKUP(MIN(AX$33:AX$56),AX$33:AZ$56,3,FALSE),IF(AX73&gt;MAX(AX$33:AX$56),VLOOKUP(MAX(AX$33:AX$56),AX$33:AZ$56,3,FALSE),VLOOKUP(AY73,AX$33:AZ$56,3,FALSE)))</f>
        <v>0.1</v>
      </c>
      <c r="AZ75" s="158">
        <f>IF(AX73&lt;MIN(AX$33:AX$56),VLOOKUP(MIN(AX$33:AX$56),AX$33:AZ$56,3,FALSE),IF(AX73&gt;MAX(AX$33:AX$56),VLOOKUP(MAX(AX$33:AX$56),AX$33:AZ$56,3,FALSE),VLOOKUP(AZ73,AX$33:AZ$56,3,FALSE)))</f>
        <v>0.1</v>
      </c>
    </row>
    <row r="76" spans="1:52" ht="12.75" hidden="1" customHeight="1" x14ac:dyDescent="0.25">
      <c r="A76" s="147">
        <v>7</v>
      </c>
      <c r="B76" s="175" t="str">
        <f>IF('datos crudos'!$U$11="","",'datos crudos'!$U$11)</f>
        <v/>
      </c>
      <c r="C76" s="158">
        <f>IF(B76&lt;MIN(B$33:B$56),MIN(B$33:B$56),IF(B76&gt;MAX(B$33:B$56),MAX(B$33:B$56),INDEX(B$33:B$56,VLOOKUP(B76,B$33:$BA$56,COLUMNS(B$3:$BA$3),TRUE),1)))</f>
        <v>399.31700000000001</v>
      </c>
      <c r="D76" s="158">
        <f>IF(B76&lt;MIN(B$33:B$56),MIN(B$33:B$56),IF(B76&gt;MAX(B$33:B$56),MAX(B$33:B$56),INDEX(B$33:B$56,VLOOKUP(B76,B$33:$BA$56,COLUMNS(B$3:$BA$3),TRUE)+1,1)))</f>
        <v>399.31700000000001</v>
      </c>
      <c r="E76" s="175" t="str">
        <f>B76</f>
        <v/>
      </c>
      <c r="F76" s="158">
        <f>IF(E76&lt;MIN(E$33:E$56),MIN(E$33:E$56),IF(E76&gt;MAX(E$33:E$56),MAX(E$33:E$56),INDEX(E$33:E$56,VLOOKUP(E76,E$33:$BA$56,COLUMNS(B$3:$BA$3),TRUE),1)))</f>
        <v>270.39999999999998</v>
      </c>
      <c r="G76" s="158">
        <f>IF(E76&lt;MIN(E$33:E$56),MIN(E$33:E$56),IF(E76&gt;MAX(E$33:E$56),MAX(E$33:E$56),INDEX(E$33:E$56,VLOOKUP(E76,E$33:$BA$56,COLUMNS(B$3:$BA$3),TRUE)+1,1)))</f>
        <v>270.39999999999998</v>
      </c>
      <c r="H76" s="175" t="str">
        <f>B76</f>
        <v/>
      </c>
      <c r="I76" s="158">
        <f>IF(H76&lt;MIN(H$33:H$56),MIN(H$33:H$56),IF(H76&gt;MAX(H$33:H$56),MAX(H$33:H$56),INDEX(H$33:H$56,VLOOKUP(H76,H$33:$BA$56,COLUMNS(H$3:$BA$3),TRUE),1)))</f>
        <v>400</v>
      </c>
      <c r="J76" s="158">
        <f>IF(H76&lt;MIN(H$33:H$56),MIN(H$33:H$56),IF(H76&gt;MAX(H$33:H$56),MAX(H$33:H$56),INDEX(H$33:H$56,VLOOKUP(H76,H$33:$BA$56,COLUMNS(H$3:$BA$3),TRUE)+1,1)))</f>
        <v>400</v>
      </c>
      <c r="K76" s="175" t="str">
        <f>E76</f>
        <v/>
      </c>
      <c r="L76" s="164">
        <f>IF(K76&lt;MIN(K$33:K$56),MIN(K$33:K$56),IF(K76&gt;MAX(K$33:K$56),MAX(K$33:K$56),INDEX(K$33:K$56,VLOOKUP(K76,K$33:$BA$56,COLUMNS(K$3:$BA$3),TRUE),1)))</f>
        <v>139.19999999999999</v>
      </c>
      <c r="M76" s="158">
        <f>IF(K76&lt;MIN(K$33:K$56),MIN(K$33:K$56),IF(K76&gt;MAX(K$33:K$56),MAX(K$33:K$56),INDEX(K$33:K$56,VLOOKUP(K76,K$33:$BA$56,COLUMNS(K$3:$BA$3),TRUE)+1,1)))</f>
        <v>139.19999999999999</v>
      </c>
      <c r="N76" s="175" t="str">
        <f>B76</f>
        <v/>
      </c>
      <c r="O76" s="176">
        <f>IF(N76&lt;MIN(N$33:N$56),MIN(N$33:N$56),IF(N76&gt;MAX(N$33:N$56),MAX(N$33:N$56),INDEX(N$33:N$56,VLOOKUP(N76,N$33:$BA$56,COLUMNS(N$3:$BA$3),TRUE),1)))</f>
        <v>398.86700000000002</v>
      </c>
      <c r="P76" s="176">
        <f>IF(N76&lt;MIN(N$33:N$56),MIN(N$33:N$56),IF(N76&gt;MAX(N$33:N$56),MAX(N$33:N$56),INDEX(N$33:N$56,VLOOKUP(N76,N$33:$BA$56,COLUMNS(N$3:$BA$3),TRUE)+1,1)))</f>
        <v>398.86700000000002</v>
      </c>
      <c r="Q76" s="175" t="str">
        <f>E76</f>
        <v/>
      </c>
      <c r="R76" s="176">
        <f>IF(Q76&lt;MIN(Q$33:Q$56),MIN(Q$33:Q$56),IF(Q76&gt;MAX(Q$33:Q$56),MAX(Q$33:Q$56),INDEX(Q$33:Q$56,VLOOKUP(Q76,Q$33:$BA$56,COLUMNS(Q$3:$BA$3),TRUE),1)))</f>
        <v>399.16</v>
      </c>
      <c r="S76" s="176">
        <f>IF(Q76&lt;MIN(Q$33:Q$56),MIN(Q$33:Q$56),IF(Q76&gt;MAX(Q$33:Q$56),MAX(Q$33:Q$56),INDEX(Q$33:Q$56,VLOOKUP(Q76,Q$33:$BA$56,COLUMNS(Q$3:$BA$3),TRUE)+1,1)))</f>
        <v>399.16</v>
      </c>
      <c r="T76" s="175" t="str">
        <f>H76</f>
        <v/>
      </c>
      <c r="U76" s="176">
        <f>IF(T76&lt;MIN(T$33:T$56),MIN(T$33:T$56),IF(T76&gt;MAX(T$33:T$56),MAX(T$33:T$56),INDEX(T$33:T$56,VLOOKUP(T76,T$33:$BA$56,COLUMNS(T$3:$BA$3),TRUE),1)))</f>
        <v>100.1</v>
      </c>
      <c r="V76" s="176">
        <f>IF(T76&lt;MIN(T$33:T$56),MIN(T$33:T$56),IF(T76&gt;MAX(T$33:T$56),MAX(T$33:T$56),INDEX(T$33:T$56,VLOOKUP(T76,T$33:$BA$56,COLUMNS(T$3:$BA$3),TRUE)+1,1)))</f>
        <v>100.1</v>
      </c>
      <c r="W76" s="175" t="str">
        <f>B76</f>
        <v/>
      </c>
      <c r="X76" s="177" t="e">
        <f>IF(W76&lt;MIN(W$33:W$56),MIN(W$33:W$56),IF(W76&gt;MAX(W$33:W$56),MAX(W$33:W$56),INDEX(W$33:W$56,VLOOKUP(W76,W$33:$BA$56,COLUMNS(W$3:$BA$3),TRUE),1)))</f>
        <v>#N/A</v>
      </c>
      <c r="Y76" s="158" t="e">
        <f>IF(W76&lt;MIN(W$33:W$56),MIN(W$33:W$56),IF(W76&gt;MAX(W$33:W$56),MAX(W$33:W$56),INDEX(W$33:W$56,VLOOKUP(W76,W$33:$BA$56,COLUMNS(W$3:$BA$3),TRUE)+1,1)))</f>
        <v>#N/A</v>
      </c>
      <c r="Z76" s="175" t="str">
        <f>B76</f>
        <v/>
      </c>
      <c r="AA76" s="158">
        <f>IF(Z76&lt;MIN(Z$33:Z$56),MIN(Z$33:Z$56),IF(Z76&gt;MAX(Z$33:Z$56),MAX(Z$33:Z$56),INDEX(Z$33:Z$56,VLOOKUP(Z76,Z$33:$BA$56,COLUMNS(Z$3:$BA$3),TRUE),1)))</f>
        <v>139.87</v>
      </c>
      <c r="AB76" s="158">
        <f>IF(Z76&lt;MIN(Z$33:Z$56),MIN(Z$33:Z$56),IF(Z76&gt;MAX(Z$33:Z$56),MAX(Z$33:Z$56),INDEX(Z$33:Z$56,VLOOKUP(Z76,Z$33:$BA$56,COLUMNS(Z$3:$BA$3),TRUE)+1,1)))</f>
        <v>139.87</v>
      </c>
      <c r="AC76" s="175" t="str">
        <f>B76</f>
        <v/>
      </c>
      <c r="AD76" s="158">
        <f>IF(AC76&lt;MIN(AC$33:AC$56),MIN(AC$33:AC$56),IF(AC76&gt;MAX(AC$33:AC$56),MAX(AC$33:AC$56),INDEX(AC$33:AC$56,VLOOKUP(AC76,AC$33:$BA$56,COLUMNS(AC$3:$BA$3),TRUE),1)))</f>
        <v>139.87</v>
      </c>
      <c r="AE76" s="158">
        <f>IF(AC76&lt;MIN(AC$33:AC$56),MIN(AC$33:AC$56),IF(AC76&gt;MAX(AC$33:AC$56),MAX(AC$33:AC$56),INDEX(AC$33:AC$56,VLOOKUP(AC76,AC$33:$BA$56,COLUMNS(AC$3:$BA$3),TRUE)+1,1)))</f>
        <v>139.87</v>
      </c>
      <c r="AF76" s="175" t="str">
        <f>B76</f>
        <v/>
      </c>
      <c r="AG76" s="158">
        <f>IF(AF76&lt;MIN(AF$33:AF$56),MIN(AF$33:AF$56),IF(AF76&gt;MAX(AF$33:AF$56),MAX(AF$33:AF$56),INDEX(AF$33:AF$56,VLOOKUP(AF76,AF$33:$BA$56,COLUMNS(AF$3:$BA$3),TRUE),1)))</f>
        <v>139.87</v>
      </c>
      <c r="AH76" s="158">
        <f>IF(AF76&lt;MIN(AF$33:AF$56),MIN(AF$33:AF$56),IF(AF76&gt;MAX(AF$33:AF$56),MAX(AF$33:AF$56),INDEX(AF$33:AF$56,VLOOKUP(AF76,AF$33:$BA$56,COLUMNS(AF$3:$BA$3),TRUE)+1,1)))</f>
        <v>139.87</v>
      </c>
      <c r="AI76" s="175" t="str">
        <f>E76</f>
        <v/>
      </c>
      <c r="AJ76" s="158">
        <f>IF(AI76&lt;MIN(AI$33:AI$56),MIN(AI$33:AI$56),IF(AI76&gt;MAX(AI$33:AI$56),MAX(AI$33:AI$56),INDEX(AI$33:AI$56,VLOOKUP(AI76,AI$33:$BA$56,COLUMNS(AI$3:$BA$3),TRUE),1)))</f>
        <v>139.88</v>
      </c>
      <c r="AK76" s="158">
        <f>IF(AI76&lt;MIN(AI$33:AI$56),MIN(AI$33:AI$56),IF(AI76&gt;MAX(AI$33:AI$56),MAX(AI$33:AI$56),INDEX(AI$33:AI$56,VLOOKUP(AI76,AI$33:$BA$56,COLUMNS(AI$3:$BA$3),TRUE)+1,1)))</f>
        <v>139.88</v>
      </c>
      <c r="AL76" s="175" t="str">
        <f>H76</f>
        <v/>
      </c>
      <c r="AM76" s="158">
        <f>IF(AL76&lt;MIN(AL$33:AL$56),MIN(AL$33:AL$56),IF(AL76&gt;MAX(AL$33:AL$56),MAX(AL$33:AL$56),INDEX(AL$33:AL$56,VLOOKUP(AL76,AL$33:$BA$56,COLUMNS(AL$3:$BA$3),TRUE),1)))</f>
        <v>300.2</v>
      </c>
      <c r="AN76" s="158">
        <f>IF(AL76&lt;MIN(AL$33:AL$56),MIN(AL$33:AL$56),IF(AL76&gt;MAX(AL$33:AL$56),MAX(AL$33:AL$56),INDEX(AL$33:AL$56,VLOOKUP(AL76,AL$33:$BA$56,COLUMNS(AL$3:$BA$3),TRUE)+1,1)))</f>
        <v>300.2</v>
      </c>
      <c r="AO76" s="175" t="str">
        <f>K76</f>
        <v/>
      </c>
      <c r="AP76" s="158">
        <f>IF(AO76&lt;MIN(AO$33:AO$56),MIN(AO$33:AO$56),IF(AO76&gt;MAX(AO$33:AO$56),MAX(AO$33:AO$56),INDEX(AO$33:AO$56,VLOOKUP(AO76,AO$33:$BA$56,COLUMNS(AO$3:$BA$3),TRUE),1)))</f>
        <v>139.80000000000001</v>
      </c>
      <c r="AQ76" s="158">
        <f>IF(AO76&lt;MIN(AO$33:AO$56),MIN(AO$33:AO$56),IF(AO76&gt;MAX(AO$33:AO$56),MAX(AO$33:AO$56),INDEX(AO$33:AO$56,VLOOKUP(AO76,AO$33:$BA$56,COLUMNS(AO$3:$BA$3),TRUE)+1,1)))</f>
        <v>139.80000000000001</v>
      </c>
      <c r="AR76" s="175" t="str">
        <f>N76</f>
        <v/>
      </c>
      <c r="AS76" s="158">
        <f>IF(AR76&lt;MIN(AR$33:AR$56),MIN(AR$33:AR$56),IF(AR76&gt;MAX(AR$33:AR$56),MAX(AR$33:AR$56),INDEX(AR$33:AR$56,VLOOKUP(AR76,AR$33:$BA$56,COLUMNS(AR$3:$BA$3),TRUE),1)))</f>
        <v>139.9</v>
      </c>
      <c r="AT76" s="158">
        <f>IF(AR76&lt;MIN(AR$33:AR$56),MIN(AR$33:AR$56),IF(AR76&gt;MAX(AR$33:AR$56),MAX(AR$33:AR$56),INDEX(AR$33:AR$56,VLOOKUP(AR76,AR$33:$BA$56,COLUMNS(AR$3:$BA$3),TRUE)+1,1)))</f>
        <v>139.9</v>
      </c>
      <c r="AU76" s="175" t="str">
        <f>Q76</f>
        <v/>
      </c>
      <c r="AV76" s="158">
        <f>IF(AU76&lt;MIN(AU$33:AU$56),MIN(AU$33:AU$56),IF(AU76&gt;MAX(AU$33:AU$56),MAX(AU$33:AU$56),INDEX(AU$33:AU$56,VLOOKUP(AU76,AU$33:$BA$56,COLUMNS(AU$3:$BA$3),TRUE),1)))</f>
        <v>40.33</v>
      </c>
      <c r="AW76" s="158">
        <f>IF(AU76&lt;MIN(AU$33:AU$56),MIN(AU$33:AU$56),IF(AU76&gt;MAX(AU$33:AU$56),MAX(AU$33:AU$56),INDEX(AU$33:AU$56,VLOOKUP(AU76,AU$33:$BA$56,COLUMNS(AU$3:$BA$3),TRUE)+1,1)))</f>
        <v>40.33</v>
      </c>
      <c r="AX76" s="175" t="str">
        <f>Q76</f>
        <v/>
      </c>
      <c r="AY76" s="158">
        <f>IF(AX76&lt;MIN(AX$33:AX$56),MIN(AX$33:AX$56),IF(AX76&gt;MAX(AX$33:AX$56),MAX(AX$33:AX$56),INDEX(AX$33:AX$56,VLOOKUP(AX76,AX$33:$BA$56,COLUMNS(AX$3:$BA$3),TRUE),1)))</f>
        <v>36.67</v>
      </c>
      <c r="AZ76" s="158">
        <f>IF(AX76&lt;MIN(AX$33:AX$56),MIN(AX$33:AX$56),IF(AX76&gt;MAX(AX$33:AX$56),MAX(AX$33:AX$56),INDEX(AX$33:AX$56,VLOOKUP(AX76,AX$33:$BA$56,COLUMNS(AX$3:$BA$3),TRUE)+1,1)))</f>
        <v>36.67</v>
      </c>
    </row>
    <row r="77" spans="1:52" ht="12.75" hidden="1" customHeight="1" x14ac:dyDescent="0.25">
      <c r="A77" s="150" t="s">
        <v>29</v>
      </c>
      <c r="B77" s="178">
        <f>IF(C94&lt;D94,C77,D77)</f>
        <v>0.54700000000000004</v>
      </c>
      <c r="C77" s="158">
        <f>IF(B76&lt;MIN(B$33:B$56),VLOOKUP(MIN(B$33:B$56),B$33:D$56,2,FALSE),IF(B76&gt;MAX(B$33:B$56),VLOOKUP(MAX(B$33:B$56),B$33:D$56,2,FALSE),VLOOKUP(C76,B$33:D$56,2,FALSE)))</f>
        <v>0.54700000000000004</v>
      </c>
      <c r="D77" s="158">
        <f>IF(B76&lt;MIN(B$33:B$56),VLOOKUP(MIN(B$33:B$56),B$33:D$56,2,FALSE),IF(B76&gt;MAX(B$33:B$56),VLOOKUP(MAX(B$33:B$56),B$33:D$56,2,FALSE),VLOOKUP(D76,B33:D56,2,FALSE)))</f>
        <v>0.54700000000000004</v>
      </c>
      <c r="E77" s="178">
        <f>IF($F$94&lt;$G$94,$F$77,$G$77)</f>
        <v>0.28799999999999998</v>
      </c>
      <c r="F77" s="158">
        <f>IF(E76&lt;MIN(E$33:E$56),VLOOKUP(MIN(E$33:E$56),E$33:G$56,2,FALSE),IF(E76&gt;MAX(E$33:E$56),VLOOKUP(MAX(E$33:E$56),E$33:G$56,2,FALSE),VLOOKUP(F76,E$33:G$56,2,FALSE)))</f>
        <v>0.28799999999999998</v>
      </c>
      <c r="G77" s="158">
        <f>IF(E76&lt;MIN(E$33:E$56),VLOOKUP(MIN(E$33:E$56),E$33:G$56,2,FALSE),IF(E76&gt;MAX(E$33:E$56),VLOOKUP(MAX(E$33:E$56),E$33:G$56,2,FALSE),VLOOKUP(G76,E48:G71,2,FALSE)))</f>
        <v>0.28799999999999998</v>
      </c>
      <c r="H77" s="178">
        <f>IF(I94&lt;J94,I77,J77)</f>
        <v>3.2000000000000001E-2</v>
      </c>
      <c r="I77" s="158">
        <f>IF(H76&lt;MIN(H$33:H$56),VLOOKUP(MIN(H$33:H$56),H$33:J$56,2,FALSE),IF(H76&gt;MAX(H$33:H$56),VLOOKUP(MAX(H$33:H$56),H$33:J$56,2,FALSE),VLOOKUP(I76,H$33:J$56,2,FALSE)))</f>
        <v>3.2000000000000001E-2</v>
      </c>
      <c r="J77" s="158">
        <f>IF(H76&lt;MIN(H$33:H$56),VLOOKUP(MIN(H$33:H$56),H$33:J$56,2,FALSE),IF(H76&gt;MAX(H$33:H$56),VLOOKUP(MAX(H$33:H$56),H$33:J$56,2,FALSE),VLOOKUP(J76,H33:J56,2,FALSE)))</f>
        <v>3.2000000000000001E-2</v>
      </c>
      <c r="K77" s="178">
        <f>IF(L94&lt;M94,L77,M77)</f>
        <v>-0.8</v>
      </c>
      <c r="L77" s="158">
        <f>IF(K76&lt;MIN(K$33:K$56),VLOOKUP(MIN(K$33:K$56),K$33:M$56,2,FALSE),IF(K76&gt;MAX(K$33:K$56),VLOOKUP(MAX(K$33:K$56),K$33:M$56,2,FALSE),VLOOKUP(L76,K$33:M$56,2,FALSE)))</f>
        <v>-0.8</v>
      </c>
      <c r="M77" s="158">
        <f>IF(K76&lt;MIN(K$33:K$56),VLOOKUP(MIN(K$33:K$56),K$33:M$56,2,FALSE),IF(K76&gt;MAX(K$33:K$56),VLOOKUP(MAX(K$33:K$56),K$33:M$56,2,FALSE),VLOOKUP(M76,K33:M56,2,FALSE)))</f>
        <v>-0.8</v>
      </c>
      <c r="N77" s="178">
        <f>IF(O94&lt;P94,O77,P77)</f>
        <v>0.5363</v>
      </c>
      <c r="O77" s="176">
        <f>IF(N76&lt;MIN(N$33:N$56),VLOOKUP(MIN(N$33:N$56),N$33:P$56,2,FALSE),IF(N76&gt;MAX(N$33:N$56),VLOOKUP(MAX(N$33:N$56),N$33:P$56,2,FALSE),VLOOKUP(O76,N$33:P$56,2,FALSE)))</f>
        <v>0.5363</v>
      </c>
      <c r="P77" s="176">
        <f>IF(N76&lt;MIN(N$33:N$56),VLOOKUP(MIN(N$33:N$56),N$33:P$56,2,FALSE),IF(N76&gt;MAX(N$33:N$56),VLOOKUP(MAX(N$33:N$56),N$33:P$56,2,FALSE),VLOOKUP(P76,N33:P56,2,FALSE)))</f>
        <v>0.5363</v>
      </c>
      <c r="Q77" s="178">
        <f>IF(R94&lt;S94,R77,S77)</f>
        <v>-1.0249999999999999</v>
      </c>
      <c r="R77" s="176">
        <f>IF(Q76&lt;MIN(Q$33:Q$56),VLOOKUP(MIN(Q$33:Q$56),Q$33:S$56,2,FALSE),IF(Q76&gt;MAX(Q$33:Q$56),VLOOKUP(MAX(Q$33:Q$56),Q$33:S$56,2,FALSE),VLOOKUP(R76,Q$33:S$56,2,FALSE)))</f>
        <v>-1.0249999999999999</v>
      </c>
      <c r="S77" s="176">
        <f>IF(Q76&lt;MIN(Q$33:Q$56),VLOOKUP(MIN(Q$33:Q$56),Q$33:S$56,2,FALSE),IF(Q76&gt;MAX(Q$33:Q$56),VLOOKUP(MAX(Q$33:Q$56),Q$33:S$56,2,FALSE),VLOOKUP(S76,Q33:S56,2,FALSE)))</f>
        <v>-1.0249999999999999</v>
      </c>
      <c r="T77" s="178">
        <f>IF(U94&lt;V94,U77,V77)</f>
        <v>0.19</v>
      </c>
      <c r="U77" s="176">
        <f>IF(T76&lt;MIN(T$33:T$56),VLOOKUP(MIN(T$33:T$56),T$33:V$56,2,FALSE),IF(T76&gt;MAX(T$33:T$56),VLOOKUP(MAX(T$33:T$56),T$33:V$56,2,FALSE),VLOOKUP(U76,T$33:V$56,2,FALSE)))</f>
        <v>0.19</v>
      </c>
      <c r="V77" s="176">
        <f>IF(T76&lt;MIN(T$33:T$56),VLOOKUP(MIN(T$33:T$56),T$33:V$56,2,FALSE),IF(T76&gt;MAX(T$33:T$56),VLOOKUP(MAX(T$33:T$56),T$33:V$56,2,FALSE),VLOOKUP(V76,T33:V56,2,FALSE)))</f>
        <v>0.19</v>
      </c>
      <c r="W77" s="178" t="e">
        <f>IF(W76&lt;=MIN(W$33:W$56),VLOOKUP(MIN(W$33:W$56),W$33:Y$56,2,FALSE),IF(W76&gt;=MAX(W$33:W$56),VLOOKUP(MAX(W$33:W$56),W$33:Y$56,2,FALSE),X77+((#REF!-X76)/(Y76-X76))*(Y77-X77)))</f>
        <v>#N/A</v>
      </c>
      <c r="X77" s="177" t="e">
        <f>IF(W76&lt;MIN(W$33:W$56),VLOOKUP(MIN(W$33:W$56),W$33:Y$56,2,FALSE),IF(W76&gt;MAX(W$33:W$56),VLOOKUP(MAX(W$33:W$56),W$33:Y$56,2,FALSE),VLOOKUP(X76,W$33:Y$56,2,FALSE)))</f>
        <v>#N/A</v>
      </c>
      <c r="Y77" s="158" t="e">
        <f>IF(W76&lt;MIN(W$33:W$56),VLOOKUP(MIN(W$33:W$56),W$33:Y$56,2,FALSE),IF(W76&gt;MAX(W$33:W$56),VLOOKUP(MAX(W$33:W$56),W$33:Y$56,2,FALSE),VLOOKUP(Y76,W33:Y56,2,FALSE)))</f>
        <v>#N/A</v>
      </c>
      <c r="Z77" s="178">
        <f>IF($AA$94&lt;$AB$94,AA77,AB77)</f>
        <v>0</v>
      </c>
      <c r="AA77" s="158">
        <f>IF(Z76&lt;MIN(Z$33:Z$56),VLOOKUP(MIN(Z$33:Z$56),Z$33:AB$56,2,FALSE),IF(Z76&gt;MAX(Z$33:Z$56),VLOOKUP(MAX(Z$33:Z$56),Z$33:AB$56,2,FALSE),VLOOKUP(AA76,Z$33:AB$56,2,FALSE)))</f>
        <v>0</v>
      </c>
      <c r="AB77" s="158">
        <f>IF(Z76&lt;MIN(Z$33:Z$56),VLOOKUP(MIN(Z$33:Z$56),Z$33:AB$56,2,FALSE),IF(Z76&gt;MAX(Z$33:Z$56),VLOOKUP(MAX(Z$33:Z$56),Z$33:AB$56,2,FALSE),VLOOKUP(AB76,Z33:AB56,2,FALSE)))</f>
        <v>0</v>
      </c>
      <c r="AC77" s="178">
        <f>IF($AD$89&lt;$AE$89,AD77,AE77)</f>
        <v>0</v>
      </c>
      <c r="AD77" s="158">
        <f>IF(AC76&lt;MIN(AC$33:AC$56),VLOOKUP(MIN(AC$33:AC$56),AC$33:AE$56,2,FALSE),IF(AC76&gt;MAX(AC$33:AC$56),VLOOKUP(MAX(AC$33:AC$56),AC$33:AE$56,2,FALSE),VLOOKUP(AD76,AC$33:AE$56,2,FALSE)))</f>
        <v>0</v>
      </c>
      <c r="AE77" s="158">
        <f>IF(AC76&lt;MIN(AC$33:AC$56),VLOOKUP(MIN(AC$33:AC$56),AC$33:AE$56,2,FALSE),IF(AC76&gt;MAX(AC$33:AC$56),VLOOKUP(MAX(AC$33:AC$56),AC$33:AE$56,2,FALSE),VLOOKUP(AE76,AC33:AE56,2,FALSE)))</f>
        <v>0</v>
      </c>
      <c r="AF77" s="178">
        <f>IF($AG$89&lt;$AH$89,AG77,AH77)</f>
        <v>0</v>
      </c>
      <c r="AG77" s="158">
        <f>IF(AF76&lt;MIN(AF$33:AF$56),VLOOKUP(MIN(AF$33:AF$56),AF$33:AH$56,2,FALSE),IF(AF76&gt;MAX(AF$33:AF$56),VLOOKUP(MAX(AF$33:AF$56),AF$33:AH$56,2,FALSE),VLOOKUP(AG76,AF$33:AH$56,2,FALSE)))</f>
        <v>0</v>
      </c>
      <c r="AH77" s="158">
        <f>IF(AF76&lt;MIN(AF$33:AF$56),VLOOKUP(MIN(AF$33:AF$56),AF$33:AH$56,2,FALSE),IF(AF76&gt;MAX(AF$33:AF$56),VLOOKUP(MAX(AF$33:AF$56),AF$33:AH$56,2,FALSE),VLOOKUP(AH76,AF33:AH56,2,FALSE)))</f>
        <v>0</v>
      </c>
      <c r="AI77" s="178">
        <f>IF($AG$89&lt;$AH$89,AJ77,AK77)</f>
        <v>0</v>
      </c>
      <c r="AJ77" s="158">
        <f>IF(AI76&lt;MIN(AI$33:AI$56),VLOOKUP(MIN(AI$33:AI$56),AI$33:AK$56,2,FALSE),IF(AI76&gt;MAX(AI$33:AI$56),VLOOKUP(MAX(AI$33:AI$56),AI$33:AK$56,2,FALSE),VLOOKUP(AJ76,AI$33:AK$56,2,FALSE)))</f>
        <v>0</v>
      </c>
      <c r="AK77" s="158">
        <f>IF(AI76&lt;MIN(AI$33:AI$56),VLOOKUP(MIN(AI$33:AI$56),AI$33:AK$56,2,FALSE),IF(AI76&gt;MAX(AI$33:AI$56),VLOOKUP(MAX(AI$33:AI$56),AI$33:AK$56,2,FALSE),VLOOKUP(AK76,AI33:AK56,2,FALSE)))</f>
        <v>0</v>
      </c>
      <c r="AL77" s="178">
        <f>IF($AG$89&lt;$AH$89,AM77,AN77)</f>
        <v>0.153</v>
      </c>
      <c r="AM77" s="158">
        <f>IF(AL76&lt;MIN(AL$33:AL$56),VLOOKUP(MIN(AL$33:AL$56),AL$33:AN$56,2,FALSE),IF(AL76&gt;MAX(AL$33:AL$56),VLOOKUP(MAX(AL$33:AL$56),AL$33:AN$56,2,FALSE),VLOOKUP(AM76,AL$33:AN$56,2,FALSE)))</f>
        <v>0.153</v>
      </c>
      <c r="AN77" s="158">
        <f>IF(AL76&lt;MIN(AL$33:AL$56),VLOOKUP(MIN(AL$33:AL$56),AL$33:AN$56,2,FALSE),IF(AL76&gt;MAX(AL$33:AL$56),VLOOKUP(MAX(AL$33:AL$56),AL$33:AN$56,2,FALSE),VLOOKUP(AN76,AL33:AN56,2,FALSE)))</f>
        <v>0.153</v>
      </c>
      <c r="AO77" s="178">
        <f>IF($AG$89&lt;$AH$89,AP77,AQ77)</f>
        <v>-0.2</v>
      </c>
      <c r="AP77" s="158">
        <f>IF(AO76&lt;MIN(AO$33:AO$56),VLOOKUP(MIN(AO$33:AO$56),AO$33:AQ$56,2,FALSE),IF(AO76&gt;MAX(AO$33:AO$56),VLOOKUP(MAX(AO$33:AO$56),AO$33:AQ$56,2,FALSE),VLOOKUP(AP76,AO$33:AQ$56,2,FALSE)))</f>
        <v>-0.2</v>
      </c>
      <c r="AQ77" s="158">
        <f>IF(AO76&lt;MIN(AO$33:AO$56),VLOOKUP(MIN(AO$33:AO$56),AO$33:AQ$56,2,FALSE),IF(AO76&gt;MAX(AO$33:AO$56),VLOOKUP(MAX(AO$33:AO$56),AO$33:AQ$56,2,FALSE),VLOOKUP(AQ76,AO33:AQ56,2,FALSE)))</f>
        <v>-0.2</v>
      </c>
      <c r="AR77" s="178">
        <f>IF($AG$89&lt;$AH$89,AS77,AT77)</f>
        <v>-0.1</v>
      </c>
      <c r="AS77" s="158">
        <f>IF(AR76&lt;MIN(AR$33:AR$56),VLOOKUP(MIN(AR$33:AR$56),AR$33:AT$56,2,FALSE),IF(AR76&gt;MAX(AR$33:AR$56),VLOOKUP(MAX(AR$33:AR$56),AR$33:AT$56,2,FALSE),VLOOKUP(AS76,AR$33:AT$56,2,FALSE)))</f>
        <v>-0.1</v>
      </c>
      <c r="AT77" s="158">
        <f>IF(AR76&lt;MIN(AR$33:AR$56),VLOOKUP(MIN(AR$33:AR$56),AR$33:AT$56,2,FALSE),IF(AR76&gt;MAX(AR$33:AR$56),VLOOKUP(MAX(AR$33:AR$56),AR$33:AT$56,2,FALSE),VLOOKUP(AT76,AR33:AT56,2,FALSE)))</f>
        <v>-0.1</v>
      </c>
      <c r="AU77" s="178">
        <f>IF($AG$89&lt;$AH$89,AV77,AW77)</f>
        <v>0.03</v>
      </c>
      <c r="AV77" s="158">
        <f>IF(AU76&lt;MIN(AU$33:AU$56),VLOOKUP(MIN(AU$33:AU$56),AU$33:AW$56,2,FALSE),IF(AU76&gt;MAX(AU$33:AU$56),VLOOKUP(MAX(AU$33:AU$56),AU$33:AW$56,2,FALSE),VLOOKUP(AV76,AU$33:AW$56,2,FALSE)))</f>
        <v>0.03</v>
      </c>
      <c r="AW77" s="158">
        <f>IF(AU76&lt;MIN(AU$33:AU$56),VLOOKUP(MIN(AU$33:AU$56),AU$33:AW$56,2,FALSE),IF(AU76&gt;MAX(AU$33:AU$56),VLOOKUP(MAX(AU$33:AU$56),AU$33:AW$56,2,FALSE),VLOOKUP(AW76,AU33:AW56,2,FALSE)))</f>
        <v>0.03</v>
      </c>
      <c r="AX77" s="178">
        <f>IF($AG$89&lt;$AH$89,AY77,AZ77)</f>
        <v>7.0000000000000007E-2</v>
      </c>
      <c r="AY77" s="158">
        <f>IF(AX76&lt;MIN(AX$33:AX$56),VLOOKUP(MIN(AX$33:AX$56),AX$33:AZ$56,2,FALSE),IF(AX76&gt;MAX(AX$33:AX$56),VLOOKUP(MAX(AX$33:AX$56),AX$33:AZ$56,2,FALSE),VLOOKUP(AY76,AX$33:AZ$56,2,FALSE)))</f>
        <v>7.0000000000000007E-2</v>
      </c>
      <c r="AZ77" s="158">
        <f>IF(AX76&lt;MIN(AX$33:AX$56),VLOOKUP(MIN(AX$33:AX$56),AX$33:AZ$56,2,FALSE),IF(AX76&gt;MAX(AX$33:AX$56),VLOOKUP(MAX(AX$33:AX$56),AX$33:AZ$56,2,FALSE),VLOOKUP(AZ76,AX33:AZ56,2,FALSE)))</f>
        <v>7.0000000000000007E-2</v>
      </c>
    </row>
    <row r="78" spans="1:52" ht="12.75" hidden="1" customHeight="1" x14ac:dyDescent="0.25">
      <c r="A78" s="150" t="s">
        <v>30</v>
      </c>
      <c r="B78" s="179" t="str">
        <f>IF(B76="","0",IF($C$94&lt;$D$94,$C$78,$D$78))</f>
        <v>0</v>
      </c>
      <c r="C78" s="158">
        <f>IF(B76&lt;MIN(B$33:B$56),VLOOKUP(MIN(B$33:B$56),B$33:D$56,3,FALSE),IF(B76&gt;MAX(B$33:B$56),VLOOKUP(MAX(B$33:B$56),B$33:D$56,3,FALSE),VLOOKUP(C76,B$33:D$56,3,FALSE)))</f>
        <v>4.2000000000000003E-2</v>
      </c>
      <c r="D78" s="158">
        <f>IF(B76&lt;MIN(B$33:B$56),VLOOKUP(MIN(B$33:B$56),B$33:D$56,3,FALSE),IF(B76&gt;MAX(B$33:B$56),VLOOKUP(MAX(B$33:B$56),B$33:D$56,3,FALSE),VLOOKUP(D76,B$33:D$56,3,FALSE)))</f>
        <v>4.2000000000000003E-2</v>
      </c>
      <c r="E78" s="178" t="str">
        <f>IF(E76="","0",IF(F94&lt;G94,F78,G78))</f>
        <v>0</v>
      </c>
      <c r="F78" s="158">
        <f>IF(E76&lt;MIN(E$33:E$56),VLOOKUP(MIN(E$33:E$56),E$33:G$56,3,FALSE),IF(E76&gt;MAX(E$33:E$56),VLOOKUP(MAX(E$33:E$56),E$33:G$56,3,FALSE),VLOOKUP(F76,E$33:G$56,3,FALSE)))</f>
        <v>3.1E-2</v>
      </c>
      <c r="G78" s="158">
        <f>IF(E76&lt;MIN(E$33:E$56),VLOOKUP(MIN(E$33:E$56),E$33:G$56,3,FALSE),IF(E76&gt;MAX(E$33:E$56),VLOOKUP(MAX(E$33:E$56),E$33:G$56,3,FALSE),VLOOKUP(G76,E$33:G$56,3,FALSE)))</f>
        <v>3.1E-2</v>
      </c>
      <c r="H78" s="178" t="str">
        <f>IF(H76="","0",IF(I94&lt;J94,I78,J78))</f>
        <v>0</v>
      </c>
      <c r="I78" s="158">
        <f>IF(H76&lt;MIN(H$33:H$56),VLOOKUP(MIN(H$33:H$56),H$33:J$56,3,FALSE),IF(H76&gt;MAX(H$33:H$56),VLOOKUP(MAX(H$33:H$56),H$33:J$56,3,FALSE),VLOOKUP(I76,H$33:J$56,3,FALSE)))</f>
        <v>0.11</v>
      </c>
      <c r="J78" s="158">
        <f>IF(H76&lt;MIN(H$33:H$56),VLOOKUP(MIN(H$33:H$56),H$33:J$56,3,FALSE),IF(H76&gt;MAX(H$33:H$56),VLOOKUP(MAX(H$33:H$56),H$33:J$56,3,FALSE),VLOOKUP(J76,H$33:J$56,3,FALSE)))</f>
        <v>0.11</v>
      </c>
      <c r="K78" s="178" t="str">
        <f>IF(K76="","0",IF(L94&lt;M94,L78,M78))</f>
        <v>0</v>
      </c>
      <c r="L78" s="158">
        <f>IF(K76&lt;MIN(K$33:K$56),VLOOKUP(MIN(K$33:K$56),K$33:M$56,3,FALSE),IF(K76&gt;MAX(K$33:K$56),VLOOKUP(MAX(K$33:K$56),K$33:M$56,3,FALSE),VLOOKUP(L76,K$33:M$56,3,FALSE)))</f>
        <v>0.54</v>
      </c>
      <c r="M78" s="158">
        <f>IF(K76&lt;MIN(K$33:K$56),VLOOKUP(MIN(K$33:K$56),K$33:M$56,3,FALSE),IF(K76&gt;MAX(K$33:K$56),VLOOKUP(MAX(K$33:K$56),K$33:M$56,3,FALSE),VLOOKUP(M76,K$33:M$56,3,FALSE)))</f>
        <v>0.54</v>
      </c>
      <c r="N78" s="178">
        <f>IF(O94&lt;P94,O78,P78)</f>
        <v>2.1000000000000001E-2</v>
      </c>
      <c r="O78" s="176">
        <f>IF(N76&lt;MIN(N$33:N$56),VLOOKUP(MIN(N$33:N$56),N$33:P$56,3,FALSE),IF(N76&gt;MAX(N$33:N$56),VLOOKUP(MAX(N$33:N$56),N$33:P$56,3,FALSE),VLOOKUP(O76,N$33:P$56,3,FALSE)))</f>
        <v>2.1000000000000001E-2</v>
      </c>
      <c r="P78" s="176">
        <f>IF(N76&lt;MIN(N$33:N$56),VLOOKUP(MIN(N$33:N$56),N$33:P$56,3,FALSE),IF(N76&gt;MAX(N$33:N$56),VLOOKUP(MAX(N$33:N$56),N$33:P$56,3,FALSE),VLOOKUP(P76,N$33:P$56,3,FALSE)))</f>
        <v>2.1000000000000001E-2</v>
      </c>
      <c r="Q78" s="178">
        <f>IF(R94&lt;S94,R78,S78)</f>
        <v>6.2E-2</v>
      </c>
      <c r="R78" s="176">
        <f>IF(Q76&lt;MIN(Q$33:Q$56),VLOOKUP(MIN(Q$33:Q$56),Q$33:S$56,3,FALSE),IF(Q76&gt;MAX(Q$33:Q$56),VLOOKUP(MAX(Q$33:Q$56),Q$33:S$56,3,FALSE),VLOOKUP(R76,Q$33:S$56,3,FALSE)))</f>
        <v>6.2E-2</v>
      </c>
      <c r="S78" s="176">
        <f>IF(Q76&lt;MIN(Q$33:Q$56),VLOOKUP(MIN(Q$33:Q$56),Q$33:S$56,3,FALSE),IF(Q76&gt;MAX(Q$33:Q$56),VLOOKUP(MAX(Q$33:Q$56),Q$33:S$56,3,FALSE),VLOOKUP(S76,Q$33:S$56,3,FALSE)))</f>
        <v>6.2E-2</v>
      </c>
      <c r="T78" s="178">
        <f>IF(U94&lt;V94,U78,V78)</f>
        <v>0.14199999999999999</v>
      </c>
      <c r="U78" s="176">
        <f>IF(T76&lt;MIN(T$33:T$56),VLOOKUP(MIN(T$33:T$56),T$33:V$56,3,FALSE),IF(T76&gt;MAX(T$33:T$56),VLOOKUP(MAX(T$33:T$56),T$33:V$56,3,FALSE),VLOOKUP(U76,T$33:V$56,3,FALSE)))</f>
        <v>0.14199999999999999</v>
      </c>
      <c r="V78" s="176">
        <f>IF(T76&lt;MIN(T$33:T$56),VLOOKUP(MIN(T$33:T$56),T$33:V$56,3,FALSE),IF(T76&gt;MAX(T$33:T$56),VLOOKUP(MAX(T$33:T$56),T$33:V$56,3,FALSE),VLOOKUP(V76,T$33:V$56,3,FALSE)))</f>
        <v>0.14199999999999999</v>
      </c>
      <c r="W78" s="178" t="e">
        <f>IF(W76&lt;=MIN(W$33:W$56),VLOOKUP(MIN(W$33:W$56),W$33:Y$56,3,FALSE),IF(W76&gt;=MAX(W$33:W$56),VLOOKUP(MAX(W$33:W$56),W$33:Y$56,3,FALSE),X78+((#REF!-X76)/(Y76-X76))*(Y78-X78)))</f>
        <v>#N/A</v>
      </c>
      <c r="X78" s="177" t="e">
        <f>IF(W76&lt;MIN(W$33:W$56),VLOOKUP(MIN(W$33:W$56),W$33:Y$56,3,FALSE),IF(W76&gt;MAX(W$33:W$56),VLOOKUP(MAX(W$33:W$56),W$33:Y$56,3,FALSE),VLOOKUP(X76,W$33:Y$56,3,FALSE)))</f>
        <v>#N/A</v>
      </c>
      <c r="Y78" s="158" t="e">
        <f>IF(W76&lt;MIN(W$33:W$56),VLOOKUP(MIN(W$33:W$56),W$33:Y$56,3,FALSE),IF(W76&gt;MAX(W$33:W$56),VLOOKUP(MAX(W$33:W$56),W$33:Y$56,3,FALSE),VLOOKUP(Y76,W$33:Y$56,3,FALSE)))</f>
        <v>#N/A</v>
      </c>
      <c r="Z78" s="178">
        <f>IF($AA$94&lt;$AB$94,AA78,AB78)</f>
        <v>0.13</v>
      </c>
      <c r="AA78" s="158">
        <f>IF(Z76&lt;MIN(Z$33:Z$56),VLOOKUP(MIN(Z$33:Z$56),Z$33:AB$56,3,FALSE),IF(Z76&gt;MAX(Z$33:Z$56),VLOOKUP(MAX(Z$33:Z$56),Z$33:AB$56,3,FALSE),VLOOKUP(AA76,Z$33:AB$56,3,FALSE)))</f>
        <v>0.13</v>
      </c>
      <c r="AB78" s="158">
        <f>IF(Z76&lt;MIN(Z$33:Z$56),VLOOKUP(MIN(Z$33:Z$56),Z$33:AB$56,3,FALSE),IF(Z76&gt;MAX(Z$33:Z$56),VLOOKUP(MAX(Z$33:Z$56),Z$33:AB$56,3,FALSE),VLOOKUP(AB76,Z$33:AB$56,3,FALSE)))</f>
        <v>0.13</v>
      </c>
      <c r="AC78" s="178">
        <f>IF($AD$89&lt;$AE$89,AD78,AE78)</f>
        <v>0.13</v>
      </c>
      <c r="AD78" s="158">
        <f>IF(AC76&lt;MIN(AC$33:AC$56),VLOOKUP(MIN(AC$33:AC$56),AC$33:AE$56,3,FALSE),IF(AC76&gt;MAX(AC$33:AC$56),VLOOKUP(MAX(AC$33:AC$56),AC$33:AE$56,3,FALSE),VLOOKUP(AD76,AC$33:AE$56,3,FALSE)))</f>
        <v>0.13</v>
      </c>
      <c r="AE78" s="158">
        <f>IF(AC76&lt;MIN(AC$33:AC$56),VLOOKUP(MIN(AC$33:AC$56),AC$33:AE$56,3,FALSE),IF(AC76&gt;MAX(AC$33:AC$56),VLOOKUP(MAX(AC$33:AC$56),AC$33:AE$56,3,FALSE),VLOOKUP(AE76,AC$33:AE$56,3,FALSE)))</f>
        <v>0.13</v>
      </c>
      <c r="AF78" s="178">
        <f>IF($AG$89&lt;$AH$89,AG78,AH78)</f>
        <v>0.13</v>
      </c>
      <c r="AG78" s="158">
        <f>IF(AF76&lt;MIN(AF$33:AF$56),VLOOKUP(MIN(AF$33:AF$56),AF$33:AH$56,3,FALSE),IF(AF76&gt;MAX(AF$33:AF$56),VLOOKUP(MAX(AF$33:AF$56),AF$33:AH$56,3,FALSE),VLOOKUP(AG76,AF$33:AH$56,3,FALSE)))</f>
        <v>0.13</v>
      </c>
      <c r="AH78" s="158">
        <f>IF(AF76&lt;MIN(AF$33:AF$56),VLOOKUP(MIN(AF$33:AF$56),AF$33:AH$56,3,FALSE),IF(AF76&gt;MAX(AF$33:AF$56),VLOOKUP(MAX(AF$33:AF$56),AF$33:AH$56,3,FALSE),VLOOKUP(AH76,AF$33:AH$56,3,FALSE)))</f>
        <v>0.13</v>
      </c>
      <c r="AI78" s="178">
        <f>IF($AG$89&lt;$AH$89,AJ78,AK78)</f>
        <v>0.13</v>
      </c>
      <c r="AJ78" s="158">
        <f>IF(AI76&lt;MIN(AI$33:AI$56),VLOOKUP(MIN(AI$33:AI$56),AI$33:AK$56,3,FALSE),IF(AI76&gt;MAX(AI$33:AI$56),VLOOKUP(MAX(AI$33:AI$56),AI$33:AK$56,3,FALSE),VLOOKUP(AJ76,AI$33:AK$56,3,FALSE)))</f>
        <v>0.13</v>
      </c>
      <c r="AK78" s="158">
        <f>IF(AI76&lt;MIN(AI$33:AI$56),VLOOKUP(MIN(AI$33:AI$56),AI$33:AK$56,3,FALSE),IF(AI76&gt;MAX(AI$33:AI$56),VLOOKUP(MAX(AI$33:AI$56),AI$33:AK$56,3,FALSE),VLOOKUP(AK76,AI$33:AK$56,3,FALSE)))</f>
        <v>0.13</v>
      </c>
      <c r="AL78" s="178">
        <f>IF($AG$89&lt;$AH$89,AM78,AN78)</f>
        <v>0.153</v>
      </c>
      <c r="AM78" s="158">
        <f>IF(AL76&lt;MIN(AL$33:AL$56),VLOOKUP(MIN(AL$33:AL$56),AL$33:AN$56,3,FALSE),IF(AL76&gt;MAX(AL$33:AL$56),VLOOKUP(MAX(AL$33:AL$56),AL$33:AN$56,3,FALSE),VLOOKUP(AM76,AL$33:AN$56,3,FALSE)))</f>
        <v>0.153</v>
      </c>
      <c r="AN78" s="158">
        <f>IF(AL76&lt;MIN(AL$33:AL$56),VLOOKUP(MIN(AL$33:AL$56),AL$33:AN$56,3,FALSE),IF(AL76&gt;MAX(AL$33:AL$56),VLOOKUP(MAX(AL$33:AL$56),AL$33:AN$56,3,FALSE),VLOOKUP(AN76,AL$33:AN$56,3,FALSE)))</f>
        <v>0.153</v>
      </c>
      <c r="AO78" s="178">
        <f>IF($AG$89&lt;$AH$89,AP78,AQ78)</f>
        <v>0.54</v>
      </c>
      <c r="AP78" s="158">
        <f>IF(AO76&lt;MIN(AO$33:AO$56),VLOOKUP(MIN(AO$33:AO$56),AO$33:AQ$56,3,FALSE),IF(AO76&gt;MAX(AO$33:AO$56),VLOOKUP(MAX(AO$33:AO$56),AO$33:AQ$56,3,FALSE),VLOOKUP(AP76,AO$33:AQ$56,3,FALSE)))</f>
        <v>0.54</v>
      </c>
      <c r="AQ78" s="158">
        <f>IF(AO76&lt;MIN(AO$33:AO$56),VLOOKUP(MIN(AO$33:AO$56),AO$33:AQ$56,3,FALSE),IF(AO76&gt;MAX(AO$33:AO$56),VLOOKUP(MAX(AO$33:AO$56),AO$33:AQ$56,3,FALSE),VLOOKUP(AQ76,AO$33:AQ$56,3,FALSE)))</f>
        <v>0.54</v>
      </c>
      <c r="AR78" s="178">
        <f>IF($AG$89&lt;$AH$89,AS78,AT78)</f>
        <v>0.54</v>
      </c>
      <c r="AS78" s="158">
        <f>IF(AR76&lt;MIN(AR$33:AR$56),VLOOKUP(MIN(AR$33:AR$56),AR$33:AT$56,3,FALSE),IF(AR76&gt;MAX(AR$33:AR$56),VLOOKUP(MAX(AR$33:AR$56),AR$33:AT$56,3,FALSE),VLOOKUP(AS76,AR$33:AT$56,3,FALSE)))</f>
        <v>0.54</v>
      </c>
      <c r="AT78" s="158">
        <f>IF(AR76&lt;MIN(AR$33:AR$56),VLOOKUP(MIN(AR$33:AR$56),AR$33:AT$56,3,FALSE),IF(AR76&gt;MAX(AR$33:AR$56),VLOOKUP(MAX(AR$33:AR$56),AR$33:AT$56,3,FALSE),VLOOKUP(AT76,AR$33:AT$56,3,FALSE)))</f>
        <v>0.54</v>
      </c>
      <c r="AU78" s="178">
        <f>IF($AG$89&lt;$AH$89,AV78,AW78)</f>
        <v>0.1</v>
      </c>
      <c r="AV78" s="158">
        <f>IF(AU76&lt;MIN(AU$33:AU$56),VLOOKUP(MIN(AU$33:AU$56),AU$33:AW$56,3,FALSE),IF(AU76&gt;MAX(AU$33:AU$56),VLOOKUP(MAX(AU$33:AU$56),AU$33:AW$56,3,FALSE),VLOOKUP(AV76,AU$33:AW$56,3,FALSE)))</f>
        <v>0.1</v>
      </c>
      <c r="AW78" s="158">
        <f>IF(AU76&lt;MIN(AU$33:AU$56),VLOOKUP(MIN(AU$33:AU$56),AU$33:AW$56,3,FALSE),IF(AU76&gt;MAX(AU$33:AU$56),VLOOKUP(MAX(AU$33:AU$56),AU$33:AW$56,3,FALSE),VLOOKUP(AW76,AU$33:AW$56,3,FALSE)))</f>
        <v>0.1</v>
      </c>
      <c r="AX78" s="178">
        <f>IF($AG$89&lt;$AH$89,AY78,AZ78)</f>
        <v>0.1</v>
      </c>
      <c r="AY78" s="158">
        <f>IF(AX76&lt;MIN(AX$33:AX$56),VLOOKUP(MIN(AX$33:AX$56),AX$33:AZ$56,3,FALSE),IF(AX76&gt;MAX(AX$33:AX$56),VLOOKUP(MAX(AX$33:AX$56),AX$33:AZ$56,3,FALSE),VLOOKUP(AY76,AX$33:AZ$56,3,FALSE)))</f>
        <v>0.1</v>
      </c>
      <c r="AZ78" s="158">
        <f>IF(AX76&lt;MIN(AX$33:AX$56),VLOOKUP(MIN(AX$33:AX$56),AX$33:AZ$56,3,FALSE),IF(AX76&gt;MAX(AX$33:AX$56),VLOOKUP(MAX(AX$33:AX$56),AX$33:AZ$56,3,FALSE),VLOOKUP(AZ76,AX$33:AZ$56,3,FALSE)))</f>
        <v>0.1</v>
      </c>
    </row>
    <row r="79" spans="1:52" ht="12.75" hidden="1" customHeight="1" x14ac:dyDescent="0.25">
      <c r="A79" s="147">
        <v>8</v>
      </c>
      <c r="B79" s="175">
        <f>IF('datos crudos'!$U$12="","",'datos crudos'!$U$12)</f>
        <v>1</v>
      </c>
      <c r="C79" s="158">
        <f>IF(B79&lt;MIN(B$33:B$56),MIN(B$33:B$56),IF(B79&gt;MAX(B$33:B$56),MAX(B$33:B$56),INDEX(B$33:B$56,VLOOKUP(B79,B$33:$BA$56,COLUMNS(B$3:$BA$3),TRUE),1)))</f>
        <v>-6.4000000000000001E-2</v>
      </c>
      <c r="D79" s="158">
        <f>IF(B79&lt;MIN(B$33:B$56),MIN(B$33:B$56),IF(B79&gt;MAX(B$33:B$56),MAX(B$33:B$56),INDEX(B$33:B$56,VLOOKUP(B79,B$33:$BA$56,COLUMNS(B$3:$BA$3),TRUE)+1,1)))</f>
        <v>9.9540000000000006</v>
      </c>
      <c r="E79" s="175">
        <f>B79</f>
        <v>1</v>
      </c>
      <c r="F79" s="158" t="e">
        <f>IF(E79&lt;MIN(E$33:E$56),MIN(E$33:E$56),IF(E79&gt;MAX(E$33:E$56),MAX(E$33:E$56),INDEX(E$33:E$56,VLOOKUP(E79,E$33:$BA$56,COLUMNS(B$3:$BA$3),TRUE),1)))</f>
        <v>#REF!</v>
      </c>
      <c r="G79" s="158" t="e">
        <f>IF(E79&lt;MIN(E$33:E$56),MIN(E$33:E$56),IF(E79&gt;MAX(E$33:E$56),MAX(E$33:E$56),INDEX(E$33:E$56,VLOOKUP(E79,E$33:$BA$56,COLUMNS(B$3:$BA$3),TRUE)+1,1)))</f>
        <v>#REF!</v>
      </c>
      <c r="H79" s="175">
        <f>B79</f>
        <v>1</v>
      </c>
      <c r="I79" s="158">
        <f>IF(H79&lt;MIN(H$33:H$56),MIN(H$33:H$56),IF(H79&gt;MAX(H$33:H$56),MAX(H$33:H$56),INDEX(H$33:H$56,VLOOKUP(H79,H$33:$BA$56,COLUMNS(H$3:$BA$3),TRUE),1)))</f>
        <v>0.35299999999999998</v>
      </c>
      <c r="J79" s="158">
        <f>IF(H79&lt;MIN(H$33:H$56),MIN(H$33:H$56),IF(H79&gt;MAX(H$33:H$56),MAX(H$33:H$56),INDEX(H$33:H$56,VLOOKUP(H79,H$33:$BA$56,COLUMNS(H$3:$BA$3),TRUE)+1,1)))</f>
        <v>25.033000000000001</v>
      </c>
      <c r="K79" s="175">
        <f>E79</f>
        <v>1</v>
      </c>
      <c r="L79" s="164">
        <f>IF(K79&lt;MIN(K$33:K$56),MIN(K$33:K$56),IF(K79&gt;MAX(K$33:K$56),MAX(K$33:K$56),INDEX(K$33:K$56,VLOOKUP(K79,K$33:$BA$56,COLUMNS(K$3:$BA$3),TRUE),1)))</f>
        <v>0.14000000000000001</v>
      </c>
      <c r="M79" s="158">
        <f>IF(K79&lt;MIN(K$33:K$56),MIN(K$33:K$56),IF(K79&gt;MAX(K$33:K$56),MAX(K$33:K$56),INDEX(K$33:K$56,VLOOKUP(K79,K$33:$BA$56,COLUMNS(K$3:$BA$3),TRUE)+1,1)))</f>
        <v>14.9</v>
      </c>
      <c r="N79" s="175">
        <f>B79</f>
        <v>1</v>
      </c>
      <c r="O79" s="176">
        <f>IF(N79&lt;MIN(N$33:N$56),MIN(N$33:N$56),IF(N79&gt;MAX(N$33:N$56),MAX(N$33:N$56),INDEX(N$33:N$56,VLOOKUP(N79,N$33:$BA$56,COLUMNS(N$3:$BA$3),TRUE),1)))</f>
        <v>-4.9000000000000002E-2</v>
      </c>
      <c r="P79" s="176">
        <f>IF(N79&lt;MIN(N$33:N$56),MIN(N$33:N$56),IF(N79&gt;MAX(N$33:N$56),MAX(N$33:N$56),INDEX(N$33:N$56,VLOOKUP(N79,N$33:$BA$56,COLUMNS(N$3:$BA$3),TRUE)+1,1)))</f>
        <v>24.978999999999999</v>
      </c>
      <c r="Q79" s="175">
        <f>E79</f>
        <v>1</v>
      </c>
      <c r="R79" s="176">
        <f>IF(Q79&lt;MIN(Q$33:Q$56),MIN(Q$33:Q$56),IF(Q79&gt;MAX(Q$33:Q$56),MAX(Q$33:Q$56),INDEX(Q$33:Q$56,VLOOKUP(Q79,Q$33:$BA$56,COLUMNS(Q$3:$BA$3),TRUE),1)))</f>
        <v>0.16</v>
      </c>
      <c r="S79" s="176">
        <f>IF(Q79&lt;MIN(Q$33:Q$56),MIN(Q$33:Q$56),IF(Q79&gt;MAX(Q$33:Q$56),MAX(Q$33:Q$56),INDEX(Q$33:Q$56,VLOOKUP(Q79,Q$33:$BA$56,COLUMNS(Q$3:$BA$3),TRUE)+1,1)))</f>
        <v>25.17</v>
      </c>
      <c r="T79" s="175">
        <f>H79</f>
        <v>1</v>
      </c>
      <c r="U79" s="176">
        <f>IF(T79&lt;MIN(T$33:T$56),MIN(T$33:T$56),IF(T79&gt;MAX(T$33:T$56),MAX(T$33:T$56),INDEX(T$33:T$56,VLOOKUP(T79,T$33:$BA$56,COLUMNS(T$3:$BA$3),TRUE),1)))</f>
        <v>-0.6</v>
      </c>
      <c r="V79" s="176">
        <f>IF(T79&lt;MIN(T$33:T$56),MIN(T$33:T$56),IF(T79&gt;MAX(T$33:T$56),MAX(T$33:T$56),INDEX(T$33:T$56,VLOOKUP(T79,T$33:$BA$56,COLUMNS(T$3:$BA$3),TRUE)+1,1)))</f>
        <v>10.199999999999999</v>
      </c>
      <c r="W79" s="175">
        <f>B79</f>
        <v>1</v>
      </c>
      <c r="X79" s="177" t="e">
        <f>IF(W79&lt;MIN(W$33:W$56),MIN(W$33:W$56),IF(W79&gt;MAX(W$33:W$56),MAX(W$33:W$56),INDEX(W$33:W$56,VLOOKUP(W79,W$33:$BA$56,COLUMNS(W$3:$BA$3),TRUE),1)))</f>
        <v>#N/A</v>
      </c>
      <c r="Y79" s="158" t="e">
        <f>IF(W79&lt;MIN(W$33:W$56),MIN(W$33:W$56),IF(W79&gt;MAX(W$33:W$56),MAX(W$33:W$56),INDEX(W$33:W$56,VLOOKUP(W79,W$33:$BA$56,COLUMNS(W$3:$BA$3),TRUE)+1,1)))</f>
        <v>#N/A</v>
      </c>
      <c r="Z79" s="175">
        <f>B79</f>
        <v>1</v>
      </c>
      <c r="AA79" s="158">
        <f>IF(Z79&lt;MIN(Z$33:Z$56),MIN(Z$33:Z$56),IF(Z79&gt;MAX(Z$33:Z$56),MAX(Z$33:Z$56),INDEX(Z$33:Z$56,VLOOKUP(Z79,Z$33:$BA$56,COLUMNS(Z$3:$BA$3),TRUE),1)))</f>
        <v>-0.01</v>
      </c>
      <c r="AB79" s="158">
        <f>IF(Z79&lt;MIN(Z$33:Z$56),MIN(Z$33:Z$56),IF(Z79&gt;MAX(Z$33:Z$56),MAX(Z$33:Z$56),INDEX(Z$33:Z$56,VLOOKUP(Z79,Z$33:$BA$56,COLUMNS(Z$3:$BA$3),TRUE)+1,1)))</f>
        <v>4.99</v>
      </c>
      <c r="AC79" s="175">
        <f>B79</f>
        <v>1</v>
      </c>
      <c r="AD79" s="158">
        <f>IF(AC79&lt;MIN(AC$33:AC$56),MIN(AC$33:AC$56),IF(AC79&gt;MAX(AC$33:AC$56),MAX(AC$33:AC$56),INDEX(AC$33:AC$56,VLOOKUP(AC79,AC$33:$BA$56,COLUMNS(AC$3:$BA$3),TRUE),1)))</f>
        <v>-0.02</v>
      </c>
      <c r="AE79" s="158">
        <f>IF(AC79&lt;MIN(AC$33:AC$56),MIN(AC$33:AC$56),IF(AC79&gt;MAX(AC$33:AC$56),MAX(AC$33:AC$56),INDEX(AC$33:AC$56,VLOOKUP(AC79,AC$33:$BA$56,COLUMNS(AC$3:$BA$3),TRUE)+1,1)))</f>
        <v>4.97</v>
      </c>
      <c r="AF79" s="175">
        <f>B79</f>
        <v>1</v>
      </c>
      <c r="AG79" s="158">
        <f>IF(AF79&lt;MIN(AF$33:AF$56),MIN(AF$33:AF$56),IF(AF79&gt;MAX(AF$33:AF$56),MAX(AF$33:AF$56),INDEX(AF$33:AF$56,VLOOKUP(AF79,AF$33:$BA$56,COLUMNS(AF$3:$BA$3),TRUE),1)))</f>
        <v>0</v>
      </c>
      <c r="AH79" s="158">
        <f>IF(AF79&lt;MIN(AF$33:AF$56),MIN(AF$33:AF$56),IF(AF79&gt;MAX(AF$33:AF$56),MAX(AF$33:AF$56),INDEX(AF$33:AF$56,VLOOKUP(AF79,AF$33:$BA$56,COLUMNS(AF$3:$BA$3),TRUE)+1,1)))</f>
        <v>4.9800000000000004</v>
      </c>
      <c r="AI79" s="175">
        <f>E79</f>
        <v>1</v>
      </c>
      <c r="AJ79" s="158">
        <f>IF(AI79&lt;MIN(AI$33:AI$56),MIN(AI$33:AI$56),IF(AI79&gt;MAX(AI$33:AI$56),MAX(AI$33:AI$56),INDEX(AI$33:AI$56,VLOOKUP(AI79,AI$33:$BA$56,COLUMNS(AI$3:$BA$3),TRUE),1)))</f>
        <v>0.03</v>
      </c>
      <c r="AK79" s="158">
        <f>IF(AI79&lt;MIN(AI$33:AI$56),MIN(AI$33:AI$56),IF(AI79&gt;MAX(AI$33:AI$56),MAX(AI$33:AI$56),INDEX(AI$33:AI$56,VLOOKUP(AI79,AI$33:$BA$56,COLUMNS(AI$3:$BA$3),TRUE)+1,1)))</f>
        <v>4.99</v>
      </c>
      <c r="AL79" s="175">
        <f>H79</f>
        <v>1</v>
      </c>
      <c r="AM79" s="158">
        <f>IF(AL79&lt;MIN(AL$33:AL$56),MIN(AL$33:AL$56),IF(AL79&gt;MAX(AL$33:AL$56),MAX(AL$33:AL$56),INDEX(AL$33:AL$56,VLOOKUP(AL79,AL$33:$BA$56,COLUMNS(AL$3:$BA$3),TRUE),1)))</f>
        <v>-0.1</v>
      </c>
      <c r="AN79" s="158">
        <f>IF(AL79&lt;MIN(AL$33:AL$56),MIN(AL$33:AL$56),IF(AL79&gt;MAX(AL$33:AL$56),MAX(AL$33:AL$56),INDEX(AL$33:AL$56,VLOOKUP(AL79,AL$33:$BA$56,COLUMNS(AL$3:$BA$3),TRUE)+1,1)))</f>
        <v>9.9</v>
      </c>
      <c r="AO79" s="175">
        <f>K79</f>
        <v>1</v>
      </c>
      <c r="AP79" s="158">
        <f>IF(AO79&lt;MIN(AO$33:AO$56),MIN(AO$33:AO$56),IF(AO79&gt;MAX(AO$33:AO$56),MAX(AO$33:AO$56),INDEX(AO$33:AO$56,VLOOKUP(AO79,AO$33:$BA$56,COLUMNS(AO$3:$BA$3),TRUE),1)))</f>
        <v>-0.2</v>
      </c>
      <c r="AQ79" s="158">
        <f>IF(AO79&lt;MIN(AO$33:AO$56),MIN(AO$33:AO$56),IF(AO79&gt;MAX(AO$33:AO$56),MAX(AO$33:AO$56),INDEX(AO$33:AO$56,VLOOKUP(AO79,AO$33:$BA$56,COLUMNS(AO$3:$BA$3),TRUE)+1,1)))</f>
        <v>14.9</v>
      </c>
      <c r="AR79" s="175">
        <f>N79</f>
        <v>1</v>
      </c>
      <c r="AS79" s="158">
        <f>IF(AR79&lt;MIN(AR$33:AR$56),MIN(AR$33:AR$56),IF(AR79&gt;MAX(AR$33:AR$56),MAX(AR$33:AR$56),INDEX(AR$33:AR$56,VLOOKUP(AR79,AR$33:$BA$56,COLUMNS(AR$3:$BA$3),TRUE),1)))</f>
        <v>-0.2</v>
      </c>
      <c r="AT79" s="158">
        <f>IF(AR79&lt;MIN(AR$33:AR$56),MIN(AR$33:AR$56),IF(AR79&gt;MAX(AR$33:AR$56),MAX(AR$33:AR$56),INDEX(AR$33:AR$56,VLOOKUP(AR79,AR$33:$BA$56,COLUMNS(AR$3:$BA$3),TRUE)+1,1)))</f>
        <v>14.8</v>
      </c>
      <c r="AU79" s="175">
        <f>Q79</f>
        <v>1</v>
      </c>
      <c r="AV79" s="158">
        <f>IF(AU79&lt;MIN(AU$33:AU$56),MIN(AU$33:AU$56),IF(AU79&gt;MAX(AU$33:AU$56),MAX(AU$33:AU$56),INDEX(AU$33:AU$56,VLOOKUP(AU79,AU$33:$BA$56,COLUMNS(AU$3:$BA$3),TRUE),1)))</f>
        <v>20.52</v>
      </c>
      <c r="AW79" s="158">
        <f>IF(AU79&lt;MIN(AU$33:AU$56),MIN(AU$33:AU$56),IF(AU79&gt;MAX(AU$33:AU$56),MAX(AU$33:AU$56),INDEX(AU$33:AU$56,VLOOKUP(AU79,AU$33:$BA$56,COLUMNS(AU$3:$BA$3),TRUE)+1,1)))</f>
        <v>20.52</v>
      </c>
      <c r="AX79" s="175">
        <f>Q79</f>
        <v>1</v>
      </c>
      <c r="AY79" s="158">
        <f>IF(AX79&lt;MIN(AX$33:AX$56),MIN(AX$33:AX$56),IF(AX79&gt;MAX(AX$33:AX$56),MAX(AX$33:AX$56),INDEX(AX$33:AX$56,VLOOKUP(AX79,AX$33:$BA$56,COLUMNS(AX$3:$BA$3),TRUE),1)))</f>
        <v>20.56</v>
      </c>
      <c r="AZ79" s="158">
        <f>IF(AX79&lt;MIN(AX$33:AX$56),MIN(AX$33:AX$56),IF(AX79&gt;MAX(AX$33:AX$56),MAX(AX$33:AX$56),INDEX(AX$33:AX$56,VLOOKUP(AX79,AX$33:$BA$56,COLUMNS(AX$3:$BA$3),TRUE)+1,1)))</f>
        <v>20.56</v>
      </c>
    </row>
    <row r="80" spans="1:52" ht="12.75" hidden="1" customHeight="1" x14ac:dyDescent="0.25">
      <c r="A80" s="150" t="s">
        <v>29</v>
      </c>
      <c r="B80" s="178">
        <f>IF(C95&lt;D95,C80,D80)</f>
        <v>-6.9000000000000006E-2</v>
      </c>
      <c r="C80" s="158">
        <f>IF(B79&lt;MIN(B$33:B$56),VLOOKUP(MIN(B$33:B$56),B$33:D$56,2,FALSE),IF(B79&gt;MAX(B$33:B$56),VLOOKUP(MAX(B$33:B$56),B$33:D$56,2,FALSE),VLOOKUP(C79,B$33:D$56,2,FALSE)))</f>
        <v>-6.9000000000000006E-2</v>
      </c>
      <c r="D80" s="158">
        <f>IF(B79&lt;MIN(B$33:B$56),VLOOKUP(MIN(B$33:B$56),B$33:D$56,2,FALSE),IF(B79&gt;MAX(B$33:B$56),VLOOKUP(MAX(B$33:B$56),B$33:D$56,2,FALSE),VLOOKUP(D79,B33:D56,2,FALSE)))</f>
        <v>-5.8000000000000003E-2</v>
      </c>
      <c r="E80" s="178" t="e">
        <f>IF($F$95&lt;$G$95,$F$80,$G$80)</f>
        <v>#REF!</v>
      </c>
      <c r="F80" s="158" t="e">
        <f>IF(E79&lt;MIN(E$33:E$56),VLOOKUP(MIN(E$33:E$56),E$33:G$56,2,FALSE),IF(E79&gt;MAX(E$33:E$56),VLOOKUP(MAX(E$33:E$56),E$33:G$56,2,FALSE),VLOOKUP(F79,E$33:G$56,2,FALSE)))</f>
        <v>#REF!</v>
      </c>
      <c r="G80" s="158" t="e">
        <f>IF(E79&lt;MIN(E$33:E$56),VLOOKUP(MIN(E$33:E$56),E$33:G$56,2,FALSE),IF(E79&gt;MAX(E$33:E$56),VLOOKUP(MAX(E$33:E$56),E$33:G$56,2,FALSE),VLOOKUP(G79,E48:G71,2,FALSE)))</f>
        <v>#REF!</v>
      </c>
      <c r="H80" s="178">
        <f>IF(I95&lt;J95,I80,J80)</f>
        <v>6.0000000000000001E-3</v>
      </c>
      <c r="I80" s="158">
        <f>IF(H79&lt;MIN(H$33:H$56),VLOOKUP(MIN(H$33:H$56),H$33:J$56,2,FALSE),IF(H79&gt;MAX(H$33:H$56),VLOOKUP(MAX(H$33:H$56),H$33:J$56,2,FALSE),VLOOKUP(I79,H$33:J$56,2,FALSE)))</f>
        <v>6.0000000000000001E-3</v>
      </c>
      <c r="J80" s="158">
        <f>IF(H79&lt;MIN(H$33:H$56),VLOOKUP(MIN(H$33:H$56),H$33:J$56,2,FALSE),IF(H79&gt;MAX(H$33:H$56),VLOOKUP(MAX(H$33:H$56),H$33:J$56,2,FALSE),VLOOKUP(J79,H33:J56,2,FALSE)))</f>
        <v>-4.0000000000000001E-3</v>
      </c>
      <c r="K80" s="178">
        <f>IF(L95&lt;M95,L80,M80)</f>
        <v>0.14000000000000001</v>
      </c>
      <c r="L80" s="158">
        <f>IF(K79&lt;MIN(K$33:K$56),VLOOKUP(MIN(K$33:K$56),K$33:M$56,2,FALSE),IF(K79&gt;MAX(K$33:K$56),VLOOKUP(MAX(K$33:K$56),K$33:M$56,2,FALSE),VLOOKUP(L79,K$33:M$56,2,FALSE)))</f>
        <v>0.14000000000000001</v>
      </c>
      <c r="M80" s="158">
        <f>IF(K79&lt;MIN(K$33:K$56),VLOOKUP(MIN(K$33:K$56),K$33:M$56,2,FALSE),IF(K79&gt;MAX(K$33:K$56),VLOOKUP(MAX(K$33:K$56),K$33:M$56,2,FALSE),VLOOKUP(M79,K33:M56,2,FALSE)))</f>
        <v>-0.1</v>
      </c>
      <c r="N80" s="178">
        <f>IF(O95&lt;P95,O80,P80)</f>
        <v>-1.9800000000000002E-2</v>
      </c>
      <c r="O80" s="176">
        <f>IF(N79&lt;MIN(N$33:N$56),VLOOKUP(MIN(N$33:N$56),N$33:P$56,2,FALSE),IF(N79&gt;MAX(N$33:N$56),VLOOKUP(MAX(N$33:N$56),N$33:P$56,2,FALSE),VLOOKUP(O79,N$33:P$56,2,FALSE)))</f>
        <v>-1.9800000000000002E-2</v>
      </c>
      <c r="P80" s="176">
        <f>IF(N79&lt;MIN(N$33:N$56),VLOOKUP(MIN(N$33:N$56),N$33:P$56,2,FALSE),IF(N79&gt;MAX(N$33:N$56),VLOOKUP(MAX(N$33:N$56),N$33:P$56,2,FALSE),VLOOKUP(P79,N33:P56,2,FALSE)))</f>
        <v>-2.3599999999999999E-2</v>
      </c>
      <c r="Q80" s="178">
        <f>IF(R95&lt;S95,R80,S80)</f>
        <v>0.23699999999999999</v>
      </c>
      <c r="R80" s="176">
        <f>IF(Q79&lt;MIN(Q$33:Q$56),VLOOKUP(MIN(Q$33:Q$56),Q$33:S$56,2,FALSE),IF(Q79&gt;MAX(Q$33:Q$56),VLOOKUP(MAX(Q$33:Q$56),Q$33:S$56,2,FALSE),VLOOKUP(R79,Q$33:S$56,2,FALSE)))</f>
        <v>0.23699999999999999</v>
      </c>
      <c r="S80" s="176">
        <f>IF(Q79&lt;MIN(Q$33:Q$56),VLOOKUP(MIN(Q$33:Q$56),Q$33:S$56,2,FALSE),IF(Q79&gt;MAX(Q$33:Q$56),VLOOKUP(MAX(Q$33:Q$56),Q$33:S$56,2,FALSE),VLOOKUP(S79,Q33:S56,2,FALSE)))</f>
        <v>0.32900000000000001</v>
      </c>
      <c r="T80" s="178">
        <f>IF(U95&lt;V95,U80,V80)</f>
        <v>-0.222</v>
      </c>
      <c r="U80" s="176">
        <f>IF(T79&lt;MIN(T$33:T$56),VLOOKUP(MIN(T$33:T$56),T$33:V$56,2,FALSE),IF(T79&gt;MAX(T$33:T$56),VLOOKUP(MAX(T$33:T$56),T$33:V$56,2,FALSE),VLOOKUP(U79,T$33:V$56,2,FALSE)))</f>
        <v>-0.222</v>
      </c>
      <c r="V80" s="176">
        <f>IF(T79&lt;MIN(T$33:T$56),VLOOKUP(MIN(T$33:T$56),T$33:V$56,2,FALSE),IF(T79&gt;MAX(T$33:T$56),VLOOKUP(MAX(T$33:T$56),T$33:V$56,2,FALSE),VLOOKUP(V79,T33:V56,2,FALSE)))</f>
        <v>-4.7E-2</v>
      </c>
      <c r="W80" s="178" t="e">
        <f>IF(W79&lt;=MIN(W$33:W$56),VLOOKUP(MIN(W$33:W$56),W$33:Y$56,2,FALSE),IF(W79&gt;=MAX(W$33:W$56),VLOOKUP(MAX(W$33:W$56),W$33:Y$56,2,FALSE),X80+((#REF!-X79)/(Y79-X79))*(Y80-X80)))</f>
        <v>#N/A</v>
      </c>
      <c r="X80" s="177" t="e">
        <f>IF(W79&lt;MIN(W$33:W$56),VLOOKUP(MIN(W$33:W$56),W$33:Y$56,2,FALSE),IF(W79&gt;MAX(W$33:W$56),VLOOKUP(MAX(W$33:W$56),W$33:Y$56,2,FALSE),VLOOKUP(X79,W$33:Y$56,2,FALSE)))</f>
        <v>#N/A</v>
      </c>
      <c r="Y80" s="158" t="e">
        <f>IF(W79&lt;MIN(W$33:W$56),VLOOKUP(MIN(W$33:W$56),W$33:Y$56,2,FALSE),IF(W79&gt;MAX(W$33:W$56),VLOOKUP(MAX(W$33:W$56),W$33:Y$56,2,FALSE),VLOOKUP(Y79,W33:Y56,2,FALSE)))</f>
        <v>#N/A</v>
      </c>
      <c r="Z80" s="178">
        <f>IF($AA$95&lt;$AB$95,AA80,AB80)</f>
        <v>0</v>
      </c>
      <c r="AA80" s="158">
        <f>IF(Z79&lt;MIN(Z$33:Z$56),VLOOKUP(MIN(Z$33:Z$56),Z$33:AB$56,2,FALSE),IF(Z79&gt;MAX(Z$33:Z$56),VLOOKUP(MAX(Z$33:Z$56),Z$33:AB$56,2,FALSE),VLOOKUP(AA79,Z$33:AB$56,2,FALSE)))</f>
        <v>0</v>
      </c>
      <c r="AB80" s="158">
        <f>IF(Z79&lt;MIN(Z$33:Z$56),VLOOKUP(MIN(Z$33:Z$56),Z$33:AB$56,2,FALSE),IF(Z79&gt;MAX(Z$33:Z$56),VLOOKUP(MAX(Z$33:Z$56),Z$33:AB$56,2,FALSE),VLOOKUP(AB79,Z33:AB56,2,FALSE)))</f>
        <v>0</v>
      </c>
      <c r="AC80" s="178">
        <f>IF($AD$90&lt;$AE$90,AD80,AE80)</f>
        <v>0.01</v>
      </c>
      <c r="AD80" s="158">
        <f>IF(AC79&lt;MIN(AC$33:AC$56),VLOOKUP(MIN(AC$33:AC$56),AC$33:AE$56,2,FALSE),IF(AC79&gt;MAX(AC$33:AC$56),VLOOKUP(MAX(AC$33:AC$56),AC$33:AE$56,2,FALSE),VLOOKUP(AD79,AC$33:AE$56,2,FALSE)))</f>
        <v>0</v>
      </c>
      <c r="AE80" s="158">
        <f>IF(AC79&lt;MIN(AC$33:AC$56),VLOOKUP(MIN(AC$33:AC$56),AC$33:AE$56,2,FALSE),IF(AC79&gt;MAX(AC$33:AC$56),VLOOKUP(MAX(AC$33:AC$56),AC$33:AE$56,2,FALSE),VLOOKUP(AE79,AC33:AE56,2,FALSE)))</f>
        <v>0.01</v>
      </c>
      <c r="AF80" s="178" t="e">
        <f>IF($AG$90&lt;$AH$90,AG80,AH80)</f>
        <v>#N/A</v>
      </c>
      <c r="AG80" s="158">
        <f>IF(AF79&lt;MIN(AF$33:AF$56),VLOOKUP(MIN(AF$33:AF$56),AF$33:AH$56,2,FALSE),IF(AF79&gt;MAX(AF$33:AF$56),VLOOKUP(MAX(AF$33:AF$56),AF$33:AH$56,2,FALSE),VLOOKUP(AG79,AF$33:AH$56,2,FALSE)))</f>
        <v>0.02</v>
      </c>
      <c r="AH80" s="158" t="e">
        <f>IF(AF79&lt;MIN(AF$33:AF$56),VLOOKUP(MIN(AF$33:AF$56),AF$33:AH$56,2,FALSE),IF(AF79&gt;MAX(AF$33:AF$56),VLOOKUP(MAX(AF$33:AF$56),AF$33:AH$56,2,FALSE),VLOOKUP(AH79,AF48:AH71,2,FALSE)))</f>
        <v>#N/A</v>
      </c>
      <c r="AI80" s="178" t="e">
        <f>IF($AG$90&lt;$AH$90,AJ80,AK80)</f>
        <v>#N/A</v>
      </c>
      <c r="AJ80" s="158">
        <f>IF(AI79&lt;MIN(AI$33:AI$56),VLOOKUP(MIN(AI$33:AI$56),AI$33:AK$56,2,FALSE),IF(AI79&gt;MAX(AI$33:AI$56),VLOOKUP(MAX(AI$33:AI$56),AI$33:AK$56,2,FALSE),VLOOKUP(AJ79,AI$33:AK$56,2,FALSE)))</f>
        <v>0.04</v>
      </c>
      <c r="AK80" s="158" t="e">
        <f>IF(AI79&lt;MIN(AI$33:AI$56),VLOOKUP(MIN(AI$33:AI$56),AI$33:AK$56,2,FALSE),IF(AI79&gt;MAX(AI$33:AI$56),VLOOKUP(MAX(AI$33:AI$56),AI$33:AK$56,2,FALSE),VLOOKUP(AK79,AI48:AK71,2,FALSE)))</f>
        <v>#N/A</v>
      </c>
      <c r="AL80" s="178" t="e">
        <f>IF($AG$90&lt;$AH$90,AM80,AN80)</f>
        <v>#N/A</v>
      </c>
      <c r="AM80" s="158">
        <f>IF(AL79&lt;MIN(AL$33:AL$56),VLOOKUP(MIN(AL$33:AL$56),AL$33:AN$56,2,FALSE),IF(AL79&gt;MAX(AL$33:AL$56),VLOOKUP(MAX(AL$33:AL$56),AL$33:AN$56,2,FALSE),VLOOKUP(AM79,AL$33:AN$56,2,FALSE)))</f>
        <v>-6.0999999999999999E-2</v>
      </c>
      <c r="AN80" s="158" t="e">
        <f>IF(AL79&lt;MIN(AL$33:AL$56),VLOOKUP(MIN(AL$33:AL$56),AL$33:AN$56,2,FALSE),IF(AL79&gt;MAX(AL$33:AL$56),VLOOKUP(MAX(AL$33:AL$56),AL$33:AN$56,2,FALSE),VLOOKUP(AN79,AL48:AN71,2,FALSE)))</f>
        <v>#N/A</v>
      </c>
      <c r="AO80" s="178" t="e">
        <f>IF($AG$90&lt;$AH$90,AP80,AQ80)</f>
        <v>#N/A</v>
      </c>
      <c r="AP80" s="158">
        <f>IF(AO79&lt;MIN(AO$33:AO$56),VLOOKUP(MIN(AO$33:AO$56),AO$33:AQ$56,2,FALSE),IF(AO79&gt;MAX(AO$33:AO$56),VLOOKUP(MAX(AO$33:AO$56),AO$33:AQ$56,2,FALSE),VLOOKUP(AP79,AO$33:AQ$56,2,FALSE)))</f>
        <v>-0.18</v>
      </c>
      <c r="AQ80" s="158" t="e">
        <f>IF(AO79&lt;MIN(AO$33:AO$56),VLOOKUP(MIN(AO$33:AO$56),AO$33:AQ$56,2,FALSE),IF(AO79&gt;MAX(AO$33:AO$56),VLOOKUP(MAX(AO$33:AO$56),AO$33:AQ$56,2,FALSE),VLOOKUP(AQ79,AO48:AQ71,2,FALSE)))</f>
        <v>#N/A</v>
      </c>
      <c r="AR80" s="178" t="e">
        <f>IF($AG$90&lt;$AH$90,AS80,AT80)</f>
        <v>#N/A</v>
      </c>
      <c r="AS80" s="158">
        <f>IF(AR79&lt;MIN(AR$33:AR$56),VLOOKUP(MIN(AR$33:AR$56),AR$33:AT$56,2,FALSE),IF(AR79&gt;MAX(AR$33:AR$56),VLOOKUP(MAX(AR$33:AR$56),AR$33:AT$56,2,FALSE),VLOOKUP(AS79,AR$33:AT$56,2,FALSE)))</f>
        <v>-0.18</v>
      </c>
      <c r="AT80" s="158" t="e">
        <f>IF(AR79&lt;MIN(AR$33:AR$56),VLOOKUP(MIN(AR$33:AR$56),AR$33:AT$56,2,FALSE),IF(AR79&gt;MAX(AR$33:AR$56),VLOOKUP(MAX(AR$33:AR$56),AR$33:AT$56,2,FALSE),VLOOKUP(AT79,AR48:AT71,2,FALSE)))</f>
        <v>#N/A</v>
      </c>
      <c r="AU80" s="178">
        <f>IF($AG$90&lt;$AH$90,AV80,AW80)</f>
        <v>-0.01</v>
      </c>
      <c r="AV80" s="158">
        <f>IF(AU79&lt;MIN(AU$33:AU$56),VLOOKUP(MIN(AU$33:AU$56),AU$33:AW$56,2,FALSE),IF(AU79&gt;MAX(AU$33:AU$56),VLOOKUP(MAX(AU$33:AU$56),AU$33:AW$56,2,FALSE),VLOOKUP(AV79,AU$33:AW$56,2,FALSE)))</f>
        <v>-0.01</v>
      </c>
      <c r="AW80" s="158">
        <f>IF(AU79&lt;MIN(AU$33:AU$56),VLOOKUP(MIN(AU$33:AU$56),AU$33:AW$56,2,FALSE),IF(AU79&gt;MAX(AU$33:AU$56),VLOOKUP(MAX(AU$33:AU$56),AU$33:AW$56,2,FALSE),VLOOKUP(AW79,AU48:AW71,2,FALSE)))</f>
        <v>-0.01</v>
      </c>
      <c r="AX80" s="178">
        <f>IF($AG$90&lt;$AH$90,AY80,AZ80)</f>
        <v>0.02</v>
      </c>
      <c r="AY80" s="158">
        <f>IF(AX79&lt;MIN(AX$33:AX$56),VLOOKUP(MIN(AX$33:AX$56),AX$33:AZ$56,2,FALSE),IF(AX79&gt;MAX(AX$33:AX$56),VLOOKUP(MAX(AX$33:AX$56),AX$33:AZ$56,2,FALSE),VLOOKUP(AY79,AX$33:AZ$56,2,FALSE)))</f>
        <v>0.02</v>
      </c>
      <c r="AZ80" s="158">
        <f>IF(AX79&lt;MIN(AX$33:AX$56),VLOOKUP(MIN(AX$33:AX$56),AX$33:AZ$56,2,FALSE),IF(AX79&gt;MAX(AX$33:AX$56),VLOOKUP(MAX(AX$33:AX$56),AX$33:AZ$56,2,FALSE),VLOOKUP(AZ79,AX48:AZ71,2,FALSE)))</f>
        <v>0.02</v>
      </c>
    </row>
    <row r="81" spans="1:55" ht="12.75" hidden="1" customHeight="1" x14ac:dyDescent="0.25">
      <c r="A81" s="150" t="s">
        <v>30</v>
      </c>
      <c r="B81" s="179">
        <f>IF(B79="","0",IF($C$95&lt;$D$95,$C$81,$D$81))</f>
        <v>3.5999999999999997E-2</v>
      </c>
      <c r="C81" s="158">
        <f>IF(B79&lt;MIN(B$33:B$56),VLOOKUP(MIN(B$33:B$56),B$33:D$56,3,FALSE),IF(B79&gt;MAX(B$33:B$56),VLOOKUP(MAX(B$33:B$56),B$33:D$56,3,FALSE),VLOOKUP(C79,B$33:D$56,3,FALSE)))</f>
        <v>3.5999999999999997E-2</v>
      </c>
      <c r="D81" s="158">
        <f>IF(B79&lt;MIN(B$33:B$56),VLOOKUP(MIN(B$33:B$56),B$33:D$56,3,FALSE),IF(B79&gt;MAX(B$33:B$56),VLOOKUP(MAX(B$33:B$56),B$33:D$56,3,FALSE),VLOOKUP(D79,B$33:D$56,3,FALSE)))</f>
        <v>3.5999999999999997E-2</v>
      </c>
      <c r="E81" s="178" t="e">
        <f>IF(E79="","0",IF(F95&lt;G95,F81,G81))</f>
        <v>#REF!</v>
      </c>
      <c r="F81" s="158" t="e">
        <f>IF(E79&lt;MIN(E$33:E$56),VLOOKUP(MIN(E$33:E$56),E$33:G$56,3,FALSE),IF(E79&gt;MAX(E$33:E$56),VLOOKUP(MAX(E$33:E$56),E$33:G$56,3,FALSE),VLOOKUP(F79,E$33:G$56,3,FALSE)))</f>
        <v>#REF!</v>
      </c>
      <c r="G81" s="158" t="e">
        <f>IF(E79&lt;MIN(E$33:E$56),VLOOKUP(MIN(E$33:E$56),E$33:G$56,3,FALSE),IF(E79&gt;MAX(E$33:E$56),VLOOKUP(MAX(E$33:E$56),E$33:G$56,3,FALSE),VLOOKUP(G79,E$33:G$56,3,FALSE)))</f>
        <v>#REF!</v>
      </c>
      <c r="H81" s="178">
        <f>IF(H79="","0",IF(I95&lt;J95,I81,J81))</f>
        <v>6.7000000000000004E-2</v>
      </c>
      <c r="I81" s="158">
        <f>IF(H79&lt;MIN(H$33:H$56),VLOOKUP(MIN(H$33:H$56),H$33:J$56,3,FALSE),IF(H79&gt;MAX(H$33:H$56),VLOOKUP(MAX(H$33:H$56),H$33:J$56,3,FALSE),VLOOKUP(I79,H$33:J$56,3,FALSE)))</f>
        <v>6.7000000000000004E-2</v>
      </c>
      <c r="J81" s="158">
        <f>IF(H79&lt;MIN(H$33:H$56),VLOOKUP(MIN(H$33:H$56),H$33:J$56,3,FALSE),IF(H79&gt;MAX(H$33:H$56),VLOOKUP(MAX(H$33:H$56),H$33:J$56,3,FALSE),VLOOKUP(J79,H$33:J$56,3,FALSE)))</f>
        <v>6.7000000000000004E-2</v>
      </c>
      <c r="K81" s="178">
        <f>IF(K79="","0",IF(L95&lt;M95,L81,M81))</f>
        <v>0.54</v>
      </c>
      <c r="L81" s="158">
        <f>IF(K79&lt;MIN(K$33:K$56),VLOOKUP(MIN(K$33:K$56),K$33:M$56,3,FALSE),IF(K79&gt;MAX(K$33:K$56),VLOOKUP(MAX(K$33:K$56),K$33:M$56,3,FALSE),VLOOKUP(L79,K$33:M$56,3,FALSE)))</f>
        <v>0.54</v>
      </c>
      <c r="M81" s="158">
        <f>IF(K79&lt;MIN(K$33:K$56),VLOOKUP(MIN(K$33:K$56),K$33:M$56,3,FALSE),IF(K79&gt;MAX(K$33:K$56),VLOOKUP(MAX(K$33:K$56),K$33:M$56,3,FALSE),VLOOKUP(M79,K$33:M$56,3,FALSE)))</f>
        <v>0.54</v>
      </c>
      <c r="N81" s="178">
        <f>IF(O95&lt;P95,O81,P81)</f>
        <v>1.7999999999999999E-2</v>
      </c>
      <c r="O81" s="176">
        <f>IF(N79&lt;MIN(N$33:N$56),VLOOKUP(MIN(N$33:N$56),N$33:P$56,3,FALSE),IF(N79&gt;MAX(N$33:N$56),VLOOKUP(MAX(N$33:N$56),N$33:P$56,3,FALSE),VLOOKUP(O79,N$33:P$56,3,FALSE)))</f>
        <v>1.7999999999999999E-2</v>
      </c>
      <c r="P81" s="176">
        <f>IF(N79&lt;MIN(N$33:N$56),VLOOKUP(MIN(N$33:N$56),N$33:P$56,3,FALSE),IF(N79&gt;MAX(N$33:N$56),VLOOKUP(MAX(N$33:N$56),N$33:P$56,3,FALSE),VLOOKUP(P79,N$33:P$56,3,FALSE)))</f>
        <v>1.7999999999999999E-2</v>
      </c>
      <c r="Q81" s="178">
        <f>IF(R95&lt;S95,R81,S81)</f>
        <v>1.6E-2</v>
      </c>
      <c r="R81" s="176">
        <f>IF(Q79&lt;MIN(Q$33:Q$56),VLOOKUP(MIN(Q$33:Q$56),Q$33:S$56,3,FALSE),IF(Q79&gt;MAX(Q$33:Q$56),VLOOKUP(MAX(Q$33:Q$56),Q$33:S$56,3,FALSE),VLOOKUP(R79,Q$33:S$56,3,FALSE)))</f>
        <v>1.6E-2</v>
      </c>
      <c r="S81" s="176">
        <f>IF(Q79&lt;MIN(Q$33:Q$56),VLOOKUP(MIN(Q$33:Q$56),Q$33:S$56,3,FALSE),IF(Q79&gt;MAX(Q$33:Q$56),VLOOKUP(MAX(Q$33:Q$56),Q$33:S$56,3,FALSE),VLOOKUP(S79,Q$33:S$56,3,FALSE)))</f>
        <v>1.6E-2</v>
      </c>
      <c r="T81" s="178">
        <f>IF(U95&lt;V95,U81,V81)</f>
        <v>0.13600000000000001</v>
      </c>
      <c r="U81" s="176">
        <f>IF(T79&lt;MIN(T$33:T$56),VLOOKUP(MIN(T$33:T$56),T$33:V$56,3,FALSE),IF(T79&gt;MAX(T$33:T$56),VLOOKUP(MAX(T$33:T$56),T$33:V$56,3,FALSE),VLOOKUP(U79,T$33:V$56,3,FALSE)))</f>
        <v>0.13600000000000001</v>
      </c>
      <c r="V81" s="176">
        <f>IF(T79&lt;MIN(T$33:T$56),VLOOKUP(MIN(T$33:T$56),T$33:V$56,3,FALSE),IF(T79&gt;MAX(T$33:T$56),VLOOKUP(MAX(T$33:T$56),T$33:V$56,3,FALSE),VLOOKUP(V79,T$33:V$56,3,FALSE)))</f>
        <v>0.13600000000000001</v>
      </c>
      <c r="W81" s="178" t="e">
        <f>IF(W79&lt;=MIN(W$33:W$56),VLOOKUP(MIN(W$33:W$56),W$33:Y$56,3,FALSE),IF(W79&gt;=MAX(W$33:W$56),VLOOKUP(MAX(W$33:W$56),W$33:Y$56,3,FALSE),X81+((#REF!-X79)/(Y79-X79))*(Y81-X81)))</f>
        <v>#N/A</v>
      </c>
      <c r="X81" s="177" t="e">
        <f>IF(W79&lt;MIN(W$33:W$56),VLOOKUP(MIN(W$33:W$56),W$33:Y$56,3,FALSE),IF(W79&gt;MAX(W$33:W$56),VLOOKUP(MAX(W$33:W$56),W$33:Y$56,3,FALSE),VLOOKUP(X79,W$33:Y$56,3,FALSE)))</f>
        <v>#N/A</v>
      </c>
      <c r="Y81" s="158" t="e">
        <f>IF(W79&lt;MIN(W$33:W$56),VLOOKUP(MIN(W$33:W$56),W$33:Y$56,3,FALSE),IF(W79&gt;MAX(W$33:W$56),VLOOKUP(MAX(W$33:W$56),W$33:Y$56,3,FALSE),VLOOKUP(Y79,W$33:Y$56,3,FALSE)))</f>
        <v>#N/A</v>
      </c>
      <c r="Z81" s="178">
        <f>IF($AA$95&lt;$AB$95,AA81,AB81)</f>
        <v>0.13</v>
      </c>
      <c r="AA81" s="158">
        <f>IF(Z79&lt;MIN(Z$33:Z$56),VLOOKUP(MIN(Z$33:Z$56),Z$33:AB$56,3,FALSE),IF(Z79&gt;MAX(Z$33:Z$56),VLOOKUP(MAX(Z$33:Z$56),Z$33:AB$56,3,FALSE),VLOOKUP(AA79,Z$33:AB$56,3,FALSE)))</f>
        <v>0.13</v>
      </c>
      <c r="AB81" s="158">
        <f>IF(Z79&lt;MIN(Z$33:Z$56),VLOOKUP(MIN(Z$33:Z$56),Z$33:AB$56,3,FALSE),IF(Z79&gt;MAX(Z$33:Z$56),VLOOKUP(MAX(Z$33:Z$56),Z$33:AB$56,3,FALSE),VLOOKUP(AB79,Z$33:AB$56,3,FALSE)))</f>
        <v>0.13</v>
      </c>
      <c r="AC81" s="178">
        <f>IF($AD$90&lt;$AE$90,AD81,AE81)</f>
        <v>0.13</v>
      </c>
      <c r="AD81" s="158">
        <f>IF(AC79&lt;MIN(AC$33:AC$56),VLOOKUP(MIN(AC$33:AC$56),AC$33:AE$56,3,FALSE),IF(AC79&gt;MAX(AC$33:AC$56),VLOOKUP(MAX(AC$33:AC$56),AC$33:AE$56,3,FALSE),VLOOKUP(AD79,AC$33:AE$56,3,FALSE)))</f>
        <v>0.13</v>
      </c>
      <c r="AE81" s="158">
        <f>IF(AC79&lt;MIN(AC$33:AC$56),VLOOKUP(MIN(AC$33:AC$56),AC$33:AE$56,3,FALSE),IF(AC79&gt;MAX(AC$33:AC$56),VLOOKUP(MAX(AC$33:AC$56),AC$33:AE$56,3,FALSE),VLOOKUP(AE79,AC$33:AE$56,3,FALSE)))</f>
        <v>0.13</v>
      </c>
      <c r="AF81" s="178">
        <f>IF($AG$90&lt;$AH$90,AG81,AH81)</f>
        <v>0.13</v>
      </c>
      <c r="AG81" s="158">
        <f>IF(AF79&lt;MIN(AF$33:AF$56),VLOOKUP(MIN(AF$33:AF$56),AF$33:AH$56,3,FALSE),IF(AF79&gt;MAX(AF$33:AF$56),VLOOKUP(MAX(AF$33:AF$56),AF$33:AH$56,3,FALSE),VLOOKUP(AG79,AF$33:AH$56,3,FALSE)))</f>
        <v>0.13</v>
      </c>
      <c r="AH81" s="158">
        <f>IF(AF79&lt;MIN(AF$33:AF$56),VLOOKUP(MIN(AF$33:AF$56),AF$33:AH$56,3,FALSE),IF(AF79&gt;MAX(AF$33:AF$56),VLOOKUP(MAX(AF$33:AF$56),AF$33:AH$56,3,FALSE),VLOOKUP(AH79,AF$33:AH$56,3,FALSE)))</f>
        <v>0.13</v>
      </c>
      <c r="AI81" s="178">
        <f>IF($AG$90&lt;$AH$90,AJ81,AK81)</f>
        <v>0.13</v>
      </c>
      <c r="AJ81" s="158">
        <f>IF(AI79&lt;MIN(AI$33:AI$56),VLOOKUP(MIN(AI$33:AI$56),AI$33:AK$56,3,FALSE),IF(AI79&gt;MAX(AI$33:AI$56),VLOOKUP(MAX(AI$33:AI$56),AI$33:AK$56,3,FALSE),VLOOKUP(AJ79,AI$33:AK$56,3,FALSE)))</f>
        <v>0.13</v>
      </c>
      <c r="AK81" s="158">
        <f>IF(AI79&lt;MIN(AI$33:AI$56),VLOOKUP(MIN(AI$33:AI$56),AI$33:AK$56,3,FALSE),IF(AI79&gt;MAX(AI$33:AI$56),VLOOKUP(MAX(AI$33:AI$56),AI$33:AK$56,3,FALSE),VLOOKUP(AK79,AI$33:AK$56,3,FALSE)))</f>
        <v>0.13</v>
      </c>
      <c r="AL81" s="178">
        <f>IF($AG$90&lt;$AH$90,AM81,AN81)</f>
        <v>0.14599999999999999</v>
      </c>
      <c r="AM81" s="158">
        <f>IF(AL79&lt;MIN(AL$33:AL$56),VLOOKUP(MIN(AL$33:AL$56),AL$33:AN$56,3,FALSE),IF(AL79&gt;MAX(AL$33:AL$56),VLOOKUP(MAX(AL$33:AL$56),AL$33:AN$56,3,FALSE),VLOOKUP(AM79,AL$33:AN$56,3,FALSE)))</f>
        <v>0.14599999999999999</v>
      </c>
      <c r="AN81" s="158">
        <f>IF(AL79&lt;MIN(AL$33:AL$56),VLOOKUP(MIN(AL$33:AL$56),AL$33:AN$56,3,FALSE),IF(AL79&gt;MAX(AL$33:AL$56),VLOOKUP(MAX(AL$33:AL$56),AL$33:AN$56,3,FALSE),VLOOKUP(AN79,AL$33:AN$56,3,FALSE)))</f>
        <v>0.14599999999999999</v>
      </c>
      <c r="AO81" s="178">
        <f>IF($AG$90&lt;$AH$90,AP81,AQ81)</f>
        <v>0.54</v>
      </c>
      <c r="AP81" s="158">
        <f>IF(AO79&lt;MIN(AO$33:AO$56),VLOOKUP(MIN(AO$33:AO$56),AO$33:AQ$56,3,FALSE),IF(AO79&gt;MAX(AO$33:AO$56),VLOOKUP(MAX(AO$33:AO$56),AO$33:AQ$56,3,FALSE),VLOOKUP(AP79,AO$33:AQ$56,3,FALSE)))</f>
        <v>0.54</v>
      </c>
      <c r="AQ81" s="158">
        <f>IF(AO79&lt;MIN(AO$33:AO$56),VLOOKUP(MIN(AO$33:AO$56),AO$33:AQ$56,3,FALSE),IF(AO79&gt;MAX(AO$33:AO$56),VLOOKUP(MAX(AO$33:AO$56),AO$33:AQ$56,3,FALSE),VLOOKUP(AQ79,AO$33:AQ$56,3,FALSE)))</f>
        <v>0.54</v>
      </c>
      <c r="AR81" s="178">
        <f>IF($AG$90&lt;$AH$90,AS81,AT81)</f>
        <v>0.54</v>
      </c>
      <c r="AS81" s="158">
        <f>IF(AR79&lt;MIN(AR$33:AR$56),VLOOKUP(MIN(AR$33:AR$56),AR$33:AT$56,3,FALSE),IF(AR79&gt;MAX(AR$33:AR$56),VLOOKUP(MAX(AR$33:AR$56),AR$33:AT$56,3,FALSE),VLOOKUP(AS79,AR$33:AT$56,3,FALSE)))</f>
        <v>0.54</v>
      </c>
      <c r="AT81" s="158">
        <f>IF(AR79&lt;MIN(AR$33:AR$56),VLOOKUP(MIN(AR$33:AR$56),AR$33:AT$56,3,FALSE),IF(AR79&gt;MAX(AR$33:AR$56),VLOOKUP(MAX(AR$33:AR$56),AR$33:AT$56,3,FALSE),VLOOKUP(AT79,AR$33:AT$56,3,FALSE)))</f>
        <v>0.54</v>
      </c>
      <c r="AU81" s="178">
        <f>IF($AG$90&lt;$AH$90,AV81,AW81)</f>
        <v>0.1</v>
      </c>
      <c r="AV81" s="158">
        <f>IF(AU79&lt;MIN(AU$33:AU$56),VLOOKUP(MIN(AU$33:AU$56),AU$33:AW$56,3,FALSE),IF(AU79&gt;MAX(AU$33:AU$56),VLOOKUP(MAX(AU$33:AU$56),AU$33:AW$56,3,FALSE),VLOOKUP(AV79,AU$33:AW$56,3,FALSE)))</f>
        <v>0.1</v>
      </c>
      <c r="AW81" s="158">
        <f>IF(AU79&lt;MIN(AU$33:AU$56),VLOOKUP(MIN(AU$33:AU$56),AU$33:AW$56,3,FALSE),IF(AU79&gt;MAX(AU$33:AU$56),VLOOKUP(MAX(AU$33:AU$56),AU$33:AW$56,3,FALSE),VLOOKUP(AW79,AU$33:AW$56,3,FALSE)))</f>
        <v>0.1</v>
      </c>
      <c r="AX81" s="178">
        <f>IF($AG$90&lt;$AH$90,AY81,AZ81)</f>
        <v>0.1</v>
      </c>
      <c r="AY81" s="158">
        <f>IF(AX79&lt;MIN(AX$33:AX$56),VLOOKUP(MIN(AX$33:AX$56),AX$33:AZ$56,3,FALSE),IF(AX79&gt;MAX(AX$33:AX$56),VLOOKUP(MAX(AX$33:AX$56),AX$33:AZ$56,3,FALSE),VLOOKUP(AY79,AX$33:AZ$56,3,FALSE)))</f>
        <v>0.1</v>
      </c>
      <c r="AZ81" s="158">
        <f>IF(AX79&lt;MIN(AX$33:AX$56),VLOOKUP(MIN(AX$33:AX$56),AX$33:AZ$56,3,FALSE),IF(AX79&gt;MAX(AX$33:AX$56),VLOOKUP(MAX(AX$33:AX$56),AX$33:AZ$56,3,FALSE),VLOOKUP(AZ79,AX$33:AZ$56,3,FALSE)))</f>
        <v>0.1</v>
      </c>
    </row>
    <row r="82" spans="1:55" x14ac:dyDescent="0.25">
      <c r="A82" s="150" t="s">
        <v>31</v>
      </c>
      <c r="B82" s="180">
        <f>MAX(B72,B69,B66,B63,B60,B75,B78,B81)</f>
        <v>3.5999999999999997E-2</v>
      </c>
      <c r="E82" s="180" t="e">
        <f>MAX(E72,E69,E66,E63,E60,E75,E78,E81)</f>
        <v>#REF!</v>
      </c>
      <c r="G82" s="150"/>
      <c r="H82" s="180">
        <f>MAX(H72,H69,H66,H63,H60,H75,H78,H81)</f>
        <v>6.7000000000000004E-2</v>
      </c>
      <c r="K82" s="180">
        <f>MAX(K72,K69,K66,K63,K60)</f>
        <v>0</v>
      </c>
      <c r="N82" s="180">
        <f>MAX(N72,N69,N66,N63,N60)</f>
        <v>0</v>
      </c>
      <c r="Q82" s="180">
        <f>MAX(Q72,Q69,Q66,Q63,Q60)</f>
        <v>0</v>
      </c>
      <c r="T82" s="180">
        <f>MAX(T72,T69,T66,T63,T60)</f>
        <v>0</v>
      </c>
      <c r="W82" s="180" t="e">
        <f>MAX(W72,W69,W66,W63,W60)</f>
        <v>#N/A</v>
      </c>
      <c r="Z82" s="180">
        <f>MAX(Z72,Z69,Z66,Z63,Z60)</f>
        <v>0.13</v>
      </c>
      <c r="AC82" s="180">
        <f>MAX(AC72,AC69,AC66,AC63,AC60)</f>
        <v>0.13</v>
      </c>
      <c r="AF82" s="180">
        <f>MAX(AF72,AF69,AF66,AF63,AF60)</f>
        <v>0.13</v>
      </c>
      <c r="AI82" s="180">
        <f>MAX(AI72,AI69,AI66,AI63,AI60)</f>
        <v>0.13</v>
      </c>
      <c r="AL82" s="180">
        <f>MAX(AL72,AL69,AL66,AL63,AL60)</f>
        <v>0.153</v>
      </c>
      <c r="AO82" s="180">
        <f>MAX(AO72,AO69,AO66,AO63,AO60)</f>
        <v>0.54</v>
      </c>
      <c r="AR82" s="180">
        <f>MAX(AR72,AR69,AR66,AR63,AR60)</f>
        <v>0.54</v>
      </c>
      <c r="AU82" s="180">
        <f>MAX(AU72,AU69,AU66,AU63,AU60)</f>
        <v>0.1</v>
      </c>
      <c r="AX82" s="180">
        <f>MAX(AX72,AX69,AX66,AX63,AX60)</f>
        <v>0.1</v>
      </c>
    </row>
    <row r="83" spans="1:55" x14ac:dyDescent="0.25">
      <c r="G83" s="150"/>
      <c r="AI83" s="180">
        <f>MAX(AI82,AI70,AI67,AI64,AI61)</f>
        <v>0.13</v>
      </c>
      <c r="AL83" s="180">
        <f>MAX(AL82,AL70,AL67,AL64,AL61)</f>
        <v>0.153</v>
      </c>
      <c r="AO83" s="180">
        <f>MAX(AO82,AO70,AO67,AO64,AO61)</f>
        <v>0.54</v>
      </c>
      <c r="AR83" s="180">
        <f>MAX(AR82,AR70,AR67,AR64,AR61)</f>
        <v>0.54</v>
      </c>
      <c r="AU83" s="180">
        <f>MAX(AU82,AU70,AU67,AU64,AU61)</f>
        <v>0.1</v>
      </c>
      <c r="AX83" s="180">
        <f>MAX(AX82,AX70,AX67,AX64,AX61)</f>
        <v>0.1</v>
      </c>
    </row>
    <row r="84" spans="1:55" x14ac:dyDescent="0.25">
      <c r="G84" s="150"/>
    </row>
    <row r="85" spans="1:55" x14ac:dyDescent="0.25">
      <c r="G85" s="150"/>
    </row>
    <row r="86" spans="1:55" x14ac:dyDescent="0.25">
      <c r="G86" s="150"/>
    </row>
    <row r="87" spans="1:55" x14ac:dyDescent="0.25">
      <c r="G87" s="150"/>
    </row>
    <row r="88" spans="1:55" x14ac:dyDescent="0.25">
      <c r="B88" s="164" t="str">
        <f>B58</f>
        <v/>
      </c>
      <c r="C88" s="164" t="str">
        <f>IF(B58="","",ABS((B58-C58)))</f>
        <v/>
      </c>
      <c r="D88" s="164" t="str">
        <f>IF(B58="","",ABS((B58-D58)))</f>
        <v/>
      </c>
      <c r="E88" s="164"/>
      <c r="F88" s="164" t="str">
        <f>IF(E58="","",ABS((E58-F58)))</f>
        <v/>
      </c>
      <c r="G88" s="164" t="str">
        <f>IF(E58="","",ABS((E58-G58)))</f>
        <v/>
      </c>
      <c r="H88" s="164"/>
      <c r="I88" s="164" t="str">
        <f>IF(H58="","",ABS((H58-I58)))</f>
        <v/>
      </c>
      <c r="J88" s="164" t="str">
        <f>IF(H58="","",ABS((H58-J58)))</f>
        <v/>
      </c>
      <c r="K88" s="164"/>
      <c r="L88" s="164" t="str">
        <f>IF(K58="","",ABS((K58-L58)))</f>
        <v/>
      </c>
      <c r="M88" s="164" t="str">
        <f>IF(K58="","",ABS((K58-M58)))</f>
        <v/>
      </c>
      <c r="N88" s="164"/>
      <c r="O88" s="164" t="str">
        <f>IF(N58="","",ABS((N58-O58)))</f>
        <v/>
      </c>
      <c r="P88" s="164" t="str">
        <f>IF(N58="","",ABS((N58-P58)))</f>
        <v/>
      </c>
      <c r="Q88" s="164"/>
      <c r="R88" s="164" t="str">
        <f>IF(Q58="","",ABS((Q58-R58)))</f>
        <v/>
      </c>
      <c r="S88" s="164" t="str">
        <f>IF(Q58="","",ABS((Q58-S58)))</f>
        <v/>
      </c>
      <c r="T88" s="164"/>
      <c r="U88" s="164" t="str">
        <f>IF(T58="","",ABS((T58-U58)))</f>
        <v/>
      </c>
      <c r="V88" s="164" t="str">
        <f>IF(T58="","",ABS((T58-V58)))</f>
        <v/>
      </c>
      <c r="W88" s="164"/>
      <c r="X88" s="164" t="e">
        <f>ABS((W58-X58))</f>
        <v>#VALUE!</v>
      </c>
      <c r="Y88" s="164" t="e">
        <f>ABS((W58-Y58))</f>
        <v>#VALUE!</v>
      </c>
      <c r="Z88" s="164"/>
      <c r="AA88" s="164" t="str">
        <f>IF(Z58="","",ABS((Z58-AA58)))</f>
        <v/>
      </c>
      <c r="AB88" s="164" t="str">
        <f>IF(Z58="","",ABS((Z58-AB58)))</f>
        <v/>
      </c>
      <c r="AC88" s="164"/>
      <c r="AD88" s="164" t="str">
        <f>IF(AC58="","",ABS((AC58-AD58)))</f>
        <v/>
      </c>
      <c r="AE88" s="164" t="str">
        <f>IF(AC58="","",ABS((AC58-AE58)))</f>
        <v/>
      </c>
      <c r="AF88" s="164"/>
      <c r="AG88" s="164" t="str">
        <f>IF(AF58="","",ABS((AF58-AG58)))</f>
        <v/>
      </c>
      <c r="AH88" s="164" t="str">
        <f>IF(AF58="","",ABS((AF58-AH58)))</f>
        <v/>
      </c>
      <c r="AI88" s="164"/>
      <c r="AJ88" s="164" t="str">
        <f>IF(AI58="","",ABS((AI58-AJ58)))</f>
        <v/>
      </c>
      <c r="AK88" s="164" t="str">
        <f>IF(AI58="","",ABS((AI58-AK58)))</f>
        <v/>
      </c>
      <c r="AL88" s="164"/>
      <c r="AM88" s="164" t="str">
        <f>IF(AL58="","",ABS((AL58-AM58)))</f>
        <v/>
      </c>
      <c r="AN88" s="164" t="str">
        <f>IF(AL58="","",ABS((AL58-AN58)))</f>
        <v/>
      </c>
      <c r="AO88" s="164"/>
      <c r="AP88" s="164" t="str">
        <f>IF(AO58="","",ABS((AO58-AP58)))</f>
        <v/>
      </c>
      <c r="AQ88" s="164" t="str">
        <f>IF(AO58="","",ABS((AO58-AQ58)))</f>
        <v/>
      </c>
      <c r="AR88" s="164"/>
      <c r="AS88" s="164" t="str">
        <f>IF(AR58="","",ABS((AR58-AS58)))</f>
        <v/>
      </c>
      <c r="AT88" s="164" t="str">
        <f>IF(AR58="","",ABS((AR58-AT58)))</f>
        <v/>
      </c>
      <c r="AU88" s="164"/>
      <c r="AV88" s="164" t="str">
        <f>IF(AU58="","",ABS((AU58-AV58)))</f>
        <v/>
      </c>
      <c r="AW88" s="164" t="str">
        <f>IF(AU58="","",ABS((AU58-AW58)))</f>
        <v/>
      </c>
      <c r="AX88" s="164"/>
      <c r="AY88" s="164" t="str">
        <f>IF(AX58="","",ABS((AX58-AY58)))</f>
        <v/>
      </c>
      <c r="AZ88" s="164" t="str">
        <f>IF(AX58="","",ABS((AX58-AZ58)))</f>
        <v/>
      </c>
      <c r="BA88" s="150"/>
      <c r="BB88" s="150" t="e">
        <f>ABS($H$58-BB58)</f>
        <v>#VALUE!</v>
      </c>
      <c r="BC88" s="150" t="e">
        <f>ABS($H$58-BC58)</f>
        <v>#VALUE!</v>
      </c>
    </row>
    <row r="89" spans="1:55" x14ac:dyDescent="0.25">
      <c r="B89" s="164" t="str">
        <f>B61</f>
        <v/>
      </c>
      <c r="C89" s="164" t="str">
        <f>IF(B61="","",ABS((B61-C61)))</f>
        <v/>
      </c>
      <c r="D89" s="164" t="str">
        <f>IF(B61="","",ABS((B61-D61)))</f>
        <v/>
      </c>
      <c r="E89" s="164"/>
      <c r="F89" s="164" t="str">
        <f>IF(E61="","",ABS((E61-F61)))</f>
        <v/>
      </c>
      <c r="G89" s="164" t="str">
        <f>IF(E61="","",ABS((E61-G61)))</f>
        <v/>
      </c>
      <c r="H89" s="164"/>
      <c r="I89" s="164" t="str">
        <f>IF(H61="","",ABS((H61-I61)))</f>
        <v/>
      </c>
      <c r="J89" s="164" t="str">
        <f>IF(H61="","",ABS((H61-J61)))</f>
        <v/>
      </c>
      <c r="K89" s="164"/>
      <c r="L89" s="164" t="str">
        <f>IF(K61="","",ABS((K61-L61)))</f>
        <v/>
      </c>
      <c r="M89" s="164" t="str">
        <f>IF(K61="","",ABS((K61-M61)))</f>
        <v/>
      </c>
      <c r="N89" s="164"/>
      <c r="O89" s="164" t="str">
        <f>IF(N61="","",ABS((N61-O61)))</f>
        <v/>
      </c>
      <c r="P89" s="164" t="str">
        <f>IF(N61="","",ABS((N61-P61)))</f>
        <v/>
      </c>
      <c r="Q89" s="164"/>
      <c r="R89" s="164" t="str">
        <f>IF(Q61="","",ABS((Q61-R61)))</f>
        <v/>
      </c>
      <c r="S89" s="164" t="str">
        <f>IF(Q61="","",ABS((Q61-S61)))</f>
        <v/>
      </c>
      <c r="T89" s="164"/>
      <c r="U89" s="164" t="str">
        <f>IF(T61="","",ABS((T61-U61)))</f>
        <v/>
      </c>
      <c r="V89" s="164" t="str">
        <f>IF(T61="","",ABS((T61-V61)))</f>
        <v/>
      </c>
      <c r="W89" s="164"/>
      <c r="X89" s="164" t="e">
        <f>ABS((W61-X61))</f>
        <v>#VALUE!</v>
      </c>
      <c r="Y89" s="164" t="e">
        <f>ABS((W61-Y61))</f>
        <v>#VALUE!</v>
      </c>
      <c r="Z89" s="164"/>
      <c r="AA89" s="164" t="str">
        <f>IF(Z61="","",ABS((Z61-AA61)))</f>
        <v/>
      </c>
      <c r="AB89" s="164" t="str">
        <f>IF(Z61="","",ABS((Z61-AB61)))</f>
        <v/>
      </c>
      <c r="AC89" s="164"/>
      <c r="AD89" s="164" t="str">
        <f>IF(AC61="","",ABS((AC61-AD61)))</f>
        <v/>
      </c>
      <c r="AE89" s="164" t="str">
        <f>IF(AC61="","",ABS((AC61-AE61)))</f>
        <v/>
      </c>
      <c r="AF89" s="164"/>
      <c r="AG89" s="164" t="str">
        <f>IF(AF61="","",ABS((AF61-AG61)))</f>
        <v/>
      </c>
      <c r="AH89" s="164" t="str">
        <f>IF(AF61="","",ABS((AF61-AH61)))</f>
        <v/>
      </c>
      <c r="AI89" s="164"/>
      <c r="AJ89" s="164" t="str">
        <f>IF(AI61="","",ABS((AI61-AJ61)))</f>
        <v/>
      </c>
      <c r="AK89" s="164" t="str">
        <f>IF(AI61="","",ABS((AI61-AK61)))</f>
        <v/>
      </c>
      <c r="AL89" s="164"/>
      <c r="AM89" s="164" t="str">
        <f>IF(AL61="","",ABS((AL61-AM61)))</f>
        <v/>
      </c>
      <c r="AN89" s="164" t="str">
        <f>IF(AL61="","",ABS((AL61-AN61)))</f>
        <v/>
      </c>
      <c r="AO89" s="164"/>
      <c r="AP89" s="164" t="str">
        <f>IF(AO61="","",ABS((AO61-AP61)))</f>
        <v/>
      </c>
      <c r="AQ89" s="164" t="str">
        <f>IF(AO61="","",ABS((AO61-AQ61)))</f>
        <v/>
      </c>
      <c r="AR89" s="164"/>
      <c r="AS89" s="164" t="str">
        <f>IF(AR61="","",ABS((AR61-AS61)))</f>
        <v/>
      </c>
      <c r="AT89" s="164" t="str">
        <f>IF(AR61="","",ABS((AR61-AT61)))</f>
        <v/>
      </c>
      <c r="AU89" s="164"/>
      <c r="AV89" s="164" t="str">
        <f>IF(AU61="","",ABS((AU61-AV61)))</f>
        <v/>
      </c>
      <c r="AW89" s="164" t="str">
        <f>IF(AU61="","",ABS((AU61-AW61)))</f>
        <v/>
      </c>
      <c r="AX89" s="164"/>
      <c r="AY89" s="164" t="str">
        <f>IF(AX61="","",ABS((AX61-AY61)))</f>
        <v/>
      </c>
      <c r="AZ89" s="164" t="str">
        <f>IF(AX61="","",ABS((AX61-AZ61)))</f>
        <v/>
      </c>
      <c r="BA89" s="150"/>
      <c r="BB89" s="150" t="e">
        <f>ABS($H$61-BB61)</f>
        <v>#VALUE!</v>
      </c>
      <c r="BC89" s="150" t="e">
        <f>ABS($H$61-BC61)</f>
        <v>#VALUE!</v>
      </c>
    </row>
    <row r="90" spans="1:55" x14ac:dyDescent="0.25">
      <c r="B90" s="164" t="str">
        <f>B64</f>
        <v/>
      </c>
      <c r="C90" s="164" t="str">
        <f>IF(B64="","",ABS((B64-C64)))</f>
        <v/>
      </c>
      <c r="D90" s="164" t="str">
        <f>IF(B64="","",ABS((B64-D64)))</f>
        <v/>
      </c>
      <c r="E90" s="164"/>
      <c r="F90" s="164" t="str">
        <f>IF(E64="","",ABS((E64-F64)))</f>
        <v/>
      </c>
      <c r="G90" s="164" t="str">
        <f>IF(E64="","",ABS((E64-G64)))</f>
        <v/>
      </c>
      <c r="H90" s="164"/>
      <c r="I90" s="164" t="str">
        <f>IF(H64="","",ABS((H64-I64)))</f>
        <v/>
      </c>
      <c r="J90" s="164" t="str">
        <f>IF(H64="","",ABS((H64-J64)))</f>
        <v/>
      </c>
      <c r="K90" s="164"/>
      <c r="L90" s="164" t="str">
        <f>IF(K64="","",ABS((K64-L64)))</f>
        <v/>
      </c>
      <c r="M90" s="164" t="str">
        <f>IF(K64="","",ABS((K64-M64)))</f>
        <v/>
      </c>
      <c r="N90" s="164"/>
      <c r="O90" s="164" t="str">
        <f>IF(N64="","",ABS((N64-O64)))</f>
        <v/>
      </c>
      <c r="P90" s="164" t="str">
        <f>IF(N64="","",ABS((N64-P64)))</f>
        <v/>
      </c>
      <c r="Q90" s="164"/>
      <c r="R90" s="164" t="str">
        <f>IF(Q64="","",ABS((Q64-R64)))</f>
        <v/>
      </c>
      <c r="S90" s="164" t="str">
        <f>IF(Q64="","",ABS((Q64-S64)))</f>
        <v/>
      </c>
      <c r="T90" s="164"/>
      <c r="U90" s="164" t="str">
        <f>IF(T64="","",ABS((T64-U64)))</f>
        <v/>
      </c>
      <c r="V90" s="164" t="str">
        <f>IF(T64="","",ABS((T64-V64)))</f>
        <v/>
      </c>
      <c r="W90" s="164"/>
      <c r="X90" s="164" t="e">
        <f>ABS((W64-X64))</f>
        <v>#VALUE!</v>
      </c>
      <c r="Y90" s="164" t="e">
        <f>ABS((W64-Y64))</f>
        <v>#VALUE!</v>
      </c>
      <c r="Z90" s="164"/>
      <c r="AA90" s="164" t="str">
        <f>IF(Z64="","",ABS((Z64-AA64)))</f>
        <v/>
      </c>
      <c r="AB90" s="164" t="str">
        <f>IF(Z64="","",ABS((Z64-AB64)))</f>
        <v/>
      </c>
      <c r="AC90" s="164"/>
      <c r="AD90" s="164" t="str">
        <f>IF(AC64="","",ABS((AC64-AD64)))</f>
        <v/>
      </c>
      <c r="AE90" s="164" t="str">
        <f>IF(AC64="","",ABS((AC64-AE64)))</f>
        <v/>
      </c>
      <c r="AF90" s="164"/>
      <c r="AG90" s="164" t="str">
        <f>IF(AF64="","",ABS((AF64-AG64)))</f>
        <v/>
      </c>
      <c r="AH90" s="164" t="str">
        <f>IF(AF64="","",ABS((AF64-AH64)))</f>
        <v/>
      </c>
      <c r="AI90" s="164"/>
      <c r="AJ90" s="164" t="str">
        <f>IF(AI64="","",ABS((AI64-AJ64)))</f>
        <v/>
      </c>
      <c r="AK90" s="164" t="str">
        <f>IF(AI64="","",ABS((AI64-AK64)))</f>
        <v/>
      </c>
      <c r="AL90" s="164"/>
      <c r="AM90" s="164" t="str">
        <f>IF(AL64="","",ABS((AL64-AM64)))</f>
        <v/>
      </c>
      <c r="AN90" s="164" t="str">
        <f>IF(AL64="","",ABS((AL64-AN64)))</f>
        <v/>
      </c>
      <c r="AO90" s="164"/>
      <c r="AP90" s="164" t="str">
        <f>IF(AO64="","",ABS((AO64-AP64)))</f>
        <v/>
      </c>
      <c r="AQ90" s="164" t="str">
        <f>IF(AO64="","",ABS((AO64-AQ64)))</f>
        <v/>
      </c>
      <c r="AR90" s="164"/>
      <c r="AS90" s="164" t="str">
        <f>IF(AR64="","",ABS((AR64-AS64)))</f>
        <v/>
      </c>
      <c r="AT90" s="164" t="str">
        <f>IF(AR64="","",ABS((AR64-AT64)))</f>
        <v/>
      </c>
      <c r="AU90" s="164"/>
      <c r="AV90" s="164" t="str">
        <f>IF(AU64="","",ABS((AU64-AV64)))</f>
        <v/>
      </c>
      <c r="AW90" s="164" t="str">
        <f>IF(AU64="","",ABS((AU64-AW64)))</f>
        <v/>
      </c>
      <c r="AX90" s="164"/>
      <c r="AY90" s="164" t="str">
        <f>IF(AX64="","",ABS((AX64-AY64)))</f>
        <v/>
      </c>
      <c r="AZ90" s="164" t="str">
        <f>IF(AX64="","",ABS((AX64-AZ64)))</f>
        <v/>
      </c>
      <c r="BA90" s="150"/>
      <c r="BB90" s="150" t="e">
        <f>ABS($H$64-BB64)</f>
        <v>#VALUE!</v>
      </c>
      <c r="BC90" s="150" t="e">
        <f>ABS($H$64-BC64)</f>
        <v>#VALUE!</v>
      </c>
    </row>
    <row r="91" spans="1:55" x14ac:dyDescent="0.25">
      <c r="B91" s="164" t="str">
        <f>B67</f>
        <v/>
      </c>
      <c r="C91" s="164" t="str">
        <f>IF(B67="","",ABS((B67-C67)))</f>
        <v/>
      </c>
      <c r="D91" s="164" t="str">
        <f>IF(B67="","",ABS((B67-D67)))</f>
        <v/>
      </c>
      <c r="E91" s="164"/>
      <c r="F91" s="164" t="str">
        <f>IF(E67="","",ABS((E67-F67)))</f>
        <v/>
      </c>
      <c r="G91" s="164" t="str">
        <f>IF(E67="","",ABS((E67-G67)))</f>
        <v/>
      </c>
      <c r="H91" s="164"/>
      <c r="I91" s="164" t="str">
        <f>IF(H67="","",ABS((H67-I67)))</f>
        <v/>
      </c>
      <c r="J91" s="164" t="str">
        <f>IF(H67="","",ABS((H67-J67)))</f>
        <v/>
      </c>
      <c r="K91" s="164"/>
      <c r="L91" s="164" t="str">
        <f>IF(K67="","",ABS((K67-L67)))</f>
        <v/>
      </c>
      <c r="M91" s="164" t="str">
        <f>IF(K67="","",ABS((K67-M67)))</f>
        <v/>
      </c>
      <c r="N91" s="164"/>
      <c r="O91" s="164" t="str">
        <f>IF(N67="","",ABS((N67-O67)))</f>
        <v/>
      </c>
      <c r="P91" s="164" t="str">
        <f>IF(N67="","",ABS((N67-P67)))</f>
        <v/>
      </c>
      <c r="Q91" s="164"/>
      <c r="R91" s="164" t="str">
        <f>IF(Q67="","",ABS((Q67-R67)))</f>
        <v/>
      </c>
      <c r="S91" s="164" t="str">
        <f>IF(Q67="","",ABS((Q67-S67)))</f>
        <v/>
      </c>
      <c r="T91" s="164"/>
      <c r="U91" s="164" t="str">
        <f>IF(T67="","",ABS((T67-U67)))</f>
        <v/>
      </c>
      <c r="V91" s="164" t="str">
        <f>IF(T67="","",ABS((T67-V67)))</f>
        <v/>
      </c>
      <c r="W91" s="164"/>
      <c r="X91" s="164" t="e">
        <f>ABS((W67-X67))</f>
        <v>#VALUE!</v>
      </c>
      <c r="Y91" s="164" t="e">
        <f>ABS((W67-Y67))</f>
        <v>#VALUE!</v>
      </c>
      <c r="Z91" s="164"/>
      <c r="AA91" s="164" t="str">
        <f>IF(Z67="","",ABS((Z67-AA67)))</f>
        <v/>
      </c>
      <c r="AB91" s="164" t="str">
        <f>IF(Z67="","",ABS((Z67-AB67)))</f>
        <v/>
      </c>
      <c r="AC91" s="164"/>
      <c r="AD91" s="164" t="str">
        <f>IF(AC67="","",ABS((AC67-AD67)))</f>
        <v/>
      </c>
      <c r="AE91" s="164" t="str">
        <f>IF(AC67="","",ABS((AC67-AE67)))</f>
        <v/>
      </c>
      <c r="AF91" s="164"/>
      <c r="AG91" s="164" t="str">
        <f>IF(AF67="","",ABS((AF67-AG67)))</f>
        <v/>
      </c>
      <c r="AH91" s="164" t="str">
        <f>IF(AF67="","",ABS((AF67-AH67)))</f>
        <v/>
      </c>
      <c r="AI91" s="164"/>
      <c r="AJ91" s="164" t="str">
        <f>IF(AI67="","",ABS((AI67-AJ67)))</f>
        <v/>
      </c>
      <c r="AK91" s="164" t="str">
        <f>IF(AI67="","",ABS((AI67-AK67)))</f>
        <v/>
      </c>
      <c r="AL91" s="164"/>
      <c r="AM91" s="164" t="str">
        <f>IF(AL67="","",ABS((AL67-AM67)))</f>
        <v/>
      </c>
      <c r="AN91" s="164" t="str">
        <f>IF(AL67="","",ABS((AL67-AN67)))</f>
        <v/>
      </c>
      <c r="AO91" s="164"/>
      <c r="AP91" s="164" t="str">
        <f>IF(AO67="","",ABS((AO67-AP67)))</f>
        <v/>
      </c>
      <c r="AQ91" s="164" t="str">
        <f>IF(AO67="","",ABS((AO67-AQ67)))</f>
        <v/>
      </c>
      <c r="AR91" s="164"/>
      <c r="AS91" s="164" t="str">
        <f>IF(AR67="","",ABS((AR67-AS67)))</f>
        <v/>
      </c>
      <c r="AT91" s="164" t="str">
        <f>IF(AR67="","",ABS((AR67-AT67)))</f>
        <v/>
      </c>
      <c r="AU91" s="164"/>
      <c r="AV91" s="164" t="str">
        <f>IF(AU67="","",ABS((AU67-AV67)))</f>
        <v/>
      </c>
      <c r="AW91" s="164" t="str">
        <f>IF(AU67="","",ABS((AU67-AW67)))</f>
        <v/>
      </c>
      <c r="AX91" s="164"/>
      <c r="AY91" s="164" t="str">
        <f>IF(AX67="","",ABS((AX67-AY67)))</f>
        <v/>
      </c>
      <c r="AZ91" s="164" t="str">
        <f>IF(AX67="","",ABS((AX67-AZ67)))</f>
        <v/>
      </c>
      <c r="BA91" s="150"/>
      <c r="BB91" s="150" t="e">
        <f>ABS($H$67-BB67)</f>
        <v>#VALUE!</v>
      </c>
      <c r="BC91" s="150" t="e">
        <f>ABS($H$67-BC67)</f>
        <v>#VALUE!</v>
      </c>
    </row>
    <row r="92" spans="1:55" x14ac:dyDescent="0.25">
      <c r="B92" s="164" t="str">
        <f>B70</f>
        <v/>
      </c>
      <c r="C92" s="164" t="str">
        <f>IF(B70="","",ABS((B70-C70)))</f>
        <v/>
      </c>
      <c r="D92" s="164" t="str">
        <f>IF(B70="","",ABS((B70-D70)))</f>
        <v/>
      </c>
      <c r="E92" s="164"/>
      <c r="F92" s="164" t="str">
        <f>IF(E70="","",ABS((E70-F70)))</f>
        <v/>
      </c>
      <c r="G92" s="164" t="str">
        <f>IF(E70="","",ABS((E70-G70)))</f>
        <v/>
      </c>
      <c r="H92" s="164"/>
      <c r="I92" s="164" t="str">
        <f>IF(H70="","",ABS((H70-I70)))</f>
        <v/>
      </c>
      <c r="J92" s="164" t="str">
        <f>IF(H70="","",ABS((H70-J70)))</f>
        <v/>
      </c>
      <c r="K92" s="164"/>
      <c r="L92" s="164" t="str">
        <f>IF(K70="","",ABS((K70-L70)))</f>
        <v/>
      </c>
      <c r="M92" s="164" t="str">
        <f>IF(K70="","",ABS((K70-M70)))</f>
        <v/>
      </c>
      <c r="N92" s="164"/>
      <c r="O92" s="164" t="str">
        <f>IF(N70="","",ABS((N70-O70)))</f>
        <v/>
      </c>
      <c r="P92" s="164" t="str">
        <f>IF(N70="","",ABS((N70-P70)))</f>
        <v/>
      </c>
      <c r="Q92" s="164"/>
      <c r="R92" s="164" t="str">
        <f>IF(Q70="","",ABS((Q70-R70)))</f>
        <v/>
      </c>
      <c r="S92" s="164" t="str">
        <f>IF(Q70="","",ABS((Q70-S70)))</f>
        <v/>
      </c>
      <c r="T92" s="164"/>
      <c r="U92" s="164" t="str">
        <f>IF(T70="","",ABS((T70-U70)))</f>
        <v/>
      </c>
      <c r="V92" s="164" t="str">
        <f>IF(T70="","",ABS((T70-V70)))</f>
        <v/>
      </c>
      <c r="W92" s="164"/>
      <c r="X92" s="164" t="e">
        <f>ABS((W70-X70))</f>
        <v>#VALUE!</v>
      </c>
      <c r="Y92" s="164" t="e">
        <f>ABS((W70-Y70))</f>
        <v>#VALUE!</v>
      </c>
      <c r="Z92" s="164"/>
      <c r="AA92" s="164" t="str">
        <f>IF(Z70="","",ABS((Z70-AA70)))</f>
        <v/>
      </c>
      <c r="AB92" s="164" t="str">
        <f>IF(Z70="","",ABS((Z70-AB70)))</f>
        <v/>
      </c>
      <c r="AC92" s="164"/>
      <c r="AD92" s="164" t="str">
        <f>IF(AC70="","",ABS((AC70-AD70)))</f>
        <v/>
      </c>
      <c r="AE92" s="164" t="str">
        <f>IF(AC70="","",ABS((AC70-AE70)))</f>
        <v/>
      </c>
      <c r="AF92" s="164"/>
      <c r="AG92" s="164" t="str">
        <f>IF(AF70="","",ABS((AF70-AG70)))</f>
        <v/>
      </c>
      <c r="AH92" s="164" t="str">
        <f>IF(AF70="","",ABS((AF70-AH70)))</f>
        <v/>
      </c>
      <c r="AI92" s="164"/>
      <c r="AJ92" s="164" t="str">
        <f>IF(AI70="","",ABS((AI70-AJ70)))</f>
        <v/>
      </c>
      <c r="AK92" s="164" t="str">
        <f>IF(AI70="","",ABS((AI70-AK70)))</f>
        <v/>
      </c>
      <c r="AL92" s="164"/>
      <c r="AM92" s="164" t="str">
        <f>IF(AL70="","",ABS((AL70-AM70)))</f>
        <v/>
      </c>
      <c r="AN92" s="164" t="str">
        <f>IF(AL70="","",ABS((AL70-AN70)))</f>
        <v/>
      </c>
      <c r="AO92" s="164"/>
      <c r="AP92" s="164" t="str">
        <f>IF(AO70="","",ABS((AO70-AP70)))</f>
        <v/>
      </c>
      <c r="AQ92" s="164" t="str">
        <f>IF(AO70="","",ABS((AO70-AQ70)))</f>
        <v/>
      </c>
      <c r="AR92" s="164"/>
      <c r="AS92" s="164" t="str">
        <f>IF(AR70="","",ABS((AR70-AS70)))</f>
        <v/>
      </c>
      <c r="AT92" s="164" t="str">
        <f>IF(AR70="","",ABS((AR70-AT70)))</f>
        <v/>
      </c>
      <c r="AU92" s="164"/>
      <c r="AV92" s="164" t="str">
        <f>IF(AU70="","",ABS((AU70-AV70)))</f>
        <v/>
      </c>
      <c r="AW92" s="164" t="str">
        <f>IF(AU70="","",ABS((AU70-AW70)))</f>
        <v/>
      </c>
      <c r="AX92" s="164"/>
      <c r="AY92" s="164" t="str">
        <f>IF(AX70="","",ABS((AX70-AY70)))</f>
        <v/>
      </c>
      <c r="AZ92" s="164" t="str">
        <f>IF(AX70="","",ABS((AX70-AZ70)))</f>
        <v/>
      </c>
      <c r="BA92" s="150"/>
      <c r="BB92" s="150" t="e">
        <f>ABS($H$70-BB70)</f>
        <v>#VALUE!</v>
      </c>
      <c r="BC92" s="150" t="e">
        <f>ABS($H$70-BC70)</f>
        <v>#VALUE!</v>
      </c>
    </row>
    <row r="93" spans="1:55" x14ac:dyDescent="0.25">
      <c r="B93" s="164" t="str">
        <f>B73</f>
        <v/>
      </c>
      <c r="C93" s="164" t="str">
        <f>IF(B73="","",ABS((B73-C73)))</f>
        <v/>
      </c>
      <c r="D93" s="164" t="str">
        <f>IF(B73="","",ABS((B73-D73)))</f>
        <v/>
      </c>
      <c r="E93" s="164"/>
      <c r="F93" s="164" t="str">
        <f>IF(E73="","",ABS((E73-F73)))</f>
        <v/>
      </c>
      <c r="G93" s="164" t="str">
        <f>IF(E73="","",ABS((E73-G73)))</f>
        <v/>
      </c>
      <c r="H93" s="164"/>
      <c r="I93" s="164" t="str">
        <f>IF(H73="","",ABS((H73-I73)))</f>
        <v/>
      </c>
      <c r="J93" s="164" t="str">
        <f>IF(H73="","",ABS((H73-J73)))</f>
        <v/>
      </c>
      <c r="K93" s="164"/>
      <c r="L93" s="164" t="str">
        <f>IF(K73="","",ABS((K73-L73)))</f>
        <v/>
      </c>
      <c r="M93" s="164" t="str">
        <f>IF(K73="","",ABS((K73-M73)))</f>
        <v/>
      </c>
      <c r="N93" s="164"/>
      <c r="O93" s="164" t="str">
        <f>IF(N73="","",ABS((N73-O73)))</f>
        <v/>
      </c>
      <c r="P93" s="164" t="str">
        <f>IF(N73="","",ABS((N73-P73)))</f>
        <v/>
      </c>
      <c r="Q93" s="164"/>
      <c r="R93" s="164" t="str">
        <f>IF(Q73="","",ABS((Q73-R73)))</f>
        <v/>
      </c>
      <c r="S93" s="164" t="str">
        <f>IF(Q73="","",ABS((Q73-S73)))</f>
        <v/>
      </c>
      <c r="T93" s="164"/>
      <c r="U93" s="164"/>
      <c r="V93" s="164"/>
      <c r="W93" s="164"/>
      <c r="X93" s="164" t="e">
        <f>ABS((W73-X73))</f>
        <v>#VALUE!</v>
      </c>
      <c r="Y93" s="164" t="e">
        <f>ABS((W73-Y73))</f>
        <v>#VALUE!</v>
      </c>
      <c r="Z93" s="164"/>
      <c r="AA93" s="164" t="str">
        <f>IF(Z73="","",ABS((Z73-AA73)))</f>
        <v/>
      </c>
      <c r="AB93" s="164" t="str">
        <f>IF(Z73="","",ABS((Z73-AB73)))</f>
        <v/>
      </c>
      <c r="AC93" s="164"/>
      <c r="AD93" s="164" t="str">
        <f>IF(AC73="","",ABS((AC73-AD73)))</f>
        <v/>
      </c>
      <c r="AE93" s="164" t="str">
        <f>IF(AC73="","",ABS((AC73-AE73)))</f>
        <v/>
      </c>
      <c r="AF93" s="164"/>
      <c r="AG93" s="164" t="str">
        <f>IF(AF73="","",ABS((AF73-AG73)))</f>
        <v/>
      </c>
      <c r="AH93" s="164" t="str">
        <f>IF(AF73="","",ABS((AF73-AH73)))</f>
        <v/>
      </c>
      <c r="AI93" s="164"/>
      <c r="AJ93" s="164" t="str">
        <f>IF(AI73="","",ABS((AI73-AJ73)))</f>
        <v/>
      </c>
      <c r="AK93" s="164" t="str">
        <f>IF(AI73="","",ABS((AI73-AK73)))</f>
        <v/>
      </c>
      <c r="AL93" s="164"/>
      <c r="AM93" s="164" t="str">
        <f>IF(AL73="","",ABS((AL73-AM73)))</f>
        <v/>
      </c>
      <c r="AN93" s="164" t="str">
        <f>IF(AL73="","",ABS((AL73-AN73)))</f>
        <v/>
      </c>
      <c r="AO93" s="164"/>
      <c r="AP93" s="164" t="str">
        <f>IF(AO73="","",ABS((AO73-AP73)))</f>
        <v/>
      </c>
      <c r="AQ93" s="164" t="str">
        <f>IF(AO73="","",ABS((AO73-AQ73)))</f>
        <v/>
      </c>
      <c r="AR93" s="164"/>
      <c r="AS93" s="164" t="str">
        <f>IF(AR73="","",ABS((AR73-AS73)))</f>
        <v/>
      </c>
      <c r="AT93" s="164" t="str">
        <f>IF(AR73="","",ABS((AR73-AT73)))</f>
        <v/>
      </c>
      <c r="AU93" s="164"/>
      <c r="AV93" s="164" t="str">
        <f>IF(AU73="","",ABS((AU73-AV73)))</f>
        <v/>
      </c>
      <c r="AW93" s="164" t="str">
        <f>IF(AU73="","",ABS((AU73-AW73)))</f>
        <v/>
      </c>
      <c r="AX93" s="164"/>
      <c r="AY93" s="164" t="str">
        <f>IF(AX73="","",ABS((AX73-AY73)))</f>
        <v/>
      </c>
      <c r="AZ93" s="164" t="str">
        <f>IF(AX73="","",ABS((AX73-AZ73)))</f>
        <v/>
      </c>
      <c r="BA93" s="150"/>
      <c r="BB93" s="150" t="e">
        <f>ABS($H$64-BB67)</f>
        <v>#VALUE!</v>
      </c>
      <c r="BC93" s="150" t="e">
        <f>ABS($H$64-BC67)</f>
        <v>#VALUE!</v>
      </c>
    </row>
    <row r="94" spans="1:55" x14ac:dyDescent="0.25">
      <c r="B94" s="164" t="str">
        <f>B76</f>
        <v/>
      </c>
      <c r="C94" s="164" t="str">
        <f>IF(B76="","",ABS((B76-C76)))</f>
        <v/>
      </c>
      <c r="D94" s="164" t="str">
        <f>IF(B76="","",ABS((B76-D76)))</f>
        <v/>
      </c>
      <c r="E94" s="164"/>
      <c r="F94" s="164" t="str">
        <f>IF(E76="","",ABS((E76-F76)))</f>
        <v/>
      </c>
      <c r="G94" s="164" t="str">
        <f>IF(E76="","",ABS((E76-G76)))</f>
        <v/>
      </c>
      <c r="H94" s="164"/>
      <c r="I94" s="164" t="str">
        <f>IF(H76="","",ABS((H76-I76)))</f>
        <v/>
      </c>
      <c r="J94" s="164" t="str">
        <f>IF(H76="","",ABS((H76-J76)))</f>
        <v/>
      </c>
      <c r="K94" s="164"/>
      <c r="L94" s="164" t="str">
        <f>IF(K76="","",ABS((K76-L76)))</f>
        <v/>
      </c>
      <c r="M94" s="164" t="str">
        <f>IF(K76="","",ABS((K76-M76)))</f>
        <v/>
      </c>
      <c r="N94" s="164"/>
      <c r="O94" s="164" t="str">
        <f>IF(N76="","",ABS((N76-O76)))</f>
        <v/>
      </c>
      <c r="P94" s="164" t="str">
        <f>IF(N76="","",ABS((N76-P76)))</f>
        <v/>
      </c>
      <c r="Q94" s="164"/>
      <c r="R94" s="164" t="str">
        <f>IF(Q76="","",ABS((Q76-R76)))</f>
        <v/>
      </c>
      <c r="S94" s="164" t="str">
        <f>IF(Q76="","",ABS((Q76-S76)))</f>
        <v/>
      </c>
      <c r="T94" s="164"/>
      <c r="U94" s="164"/>
      <c r="V94" s="164"/>
      <c r="W94" s="164"/>
      <c r="X94" s="164" t="e">
        <f>ABS((W76-X76))</f>
        <v>#VALUE!</v>
      </c>
      <c r="Y94" s="164" t="e">
        <f>ABS((W76-Y76))</f>
        <v>#VALUE!</v>
      </c>
      <c r="Z94" s="164"/>
      <c r="AA94" s="164" t="str">
        <f>IF(Z76="","",ABS((Z76-AA76)))</f>
        <v/>
      </c>
      <c r="AB94" s="164" t="str">
        <f>IF(Z76="","",ABS((Z76-AB76)))</f>
        <v/>
      </c>
      <c r="AC94" s="164"/>
      <c r="AD94" s="164" t="str">
        <f>IF(AC76="","",ABS((AC76-AD76)))</f>
        <v/>
      </c>
      <c r="AE94" s="164" t="str">
        <f>IF(AC76="","",ABS((AC76-AE76)))</f>
        <v/>
      </c>
      <c r="AF94" s="164"/>
      <c r="AG94" s="164" t="str">
        <f>IF(AF76="","",ABS((AF76-AG76)))</f>
        <v/>
      </c>
      <c r="AH94" s="164" t="str">
        <f>IF(AF76="","",ABS((AF76-AH76)))</f>
        <v/>
      </c>
      <c r="AI94" s="164"/>
      <c r="AJ94" s="164" t="str">
        <f>IF(AI76="","",ABS((AI76-AJ76)))</f>
        <v/>
      </c>
      <c r="AK94" s="164" t="str">
        <f>IF(AI76="","",ABS((AI76-AK76)))</f>
        <v/>
      </c>
      <c r="AL94" s="164"/>
      <c r="AM94" s="164" t="str">
        <f>IF(AL76="","",ABS((AL76-AM76)))</f>
        <v/>
      </c>
      <c r="AN94" s="164" t="str">
        <f>IF(AL76="","",ABS((AL76-AN76)))</f>
        <v/>
      </c>
      <c r="AO94" s="164"/>
      <c r="AP94" s="164" t="str">
        <f>IF(AO76="","",ABS((AO76-AP76)))</f>
        <v/>
      </c>
      <c r="AQ94" s="164" t="str">
        <f>IF(AO76="","",ABS((AO76-AQ76)))</f>
        <v/>
      </c>
      <c r="AR94" s="164"/>
      <c r="AS94" s="164" t="str">
        <f>IF(AR76="","",ABS((AR76-AS76)))</f>
        <v/>
      </c>
      <c r="AT94" s="164" t="str">
        <f>IF(AR76="","",ABS((AR76-AT76)))</f>
        <v/>
      </c>
      <c r="AU94" s="164"/>
      <c r="AV94" s="164" t="str">
        <f>IF(AU76="","",ABS((AU76-AV76)))</f>
        <v/>
      </c>
      <c r="AW94" s="164" t="str">
        <f>IF(AU76="","",ABS((AU76-AW76)))</f>
        <v/>
      </c>
      <c r="AX94" s="164"/>
      <c r="AY94" s="164" t="str">
        <f>IF(AX76="","",ABS((AX76-AY76)))</f>
        <v/>
      </c>
      <c r="AZ94" s="164" t="str">
        <f>IF(AX76="","",ABS((AX76-AZ76)))</f>
        <v/>
      </c>
      <c r="BA94" s="150"/>
      <c r="BB94" s="150" t="e">
        <f>ABS($H$67-BB70)</f>
        <v>#VALUE!</v>
      </c>
      <c r="BC94" s="150" t="e">
        <f>ABS($H$67-BC70)</f>
        <v>#VALUE!</v>
      </c>
    </row>
    <row r="95" spans="1:55" x14ac:dyDescent="0.25">
      <c r="B95" s="164">
        <f>B79</f>
        <v>1</v>
      </c>
      <c r="C95" s="164">
        <f>IF(B79="","",ABS((B79-C79)))</f>
        <v>1.0640000000000001</v>
      </c>
      <c r="D95" s="164">
        <f>IF(B79="","",ABS((B79-D79)))</f>
        <v>8.9540000000000006</v>
      </c>
      <c r="E95" s="164"/>
      <c r="F95" s="164" t="e">
        <f>IF(E79="","",ABS((E79-F79)))</f>
        <v>#REF!</v>
      </c>
      <c r="G95" s="164" t="e">
        <f>IF(E79="","",ABS((E79-G79)))</f>
        <v>#REF!</v>
      </c>
      <c r="H95" s="164"/>
      <c r="I95" s="164">
        <f>IF(H79="","",ABS((H79-I79)))</f>
        <v>0.64700000000000002</v>
      </c>
      <c r="J95" s="164">
        <f>IF(H79="","",ABS((H79-J79)))</f>
        <v>24.033000000000001</v>
      </c>
      <c r="K95" s="164"/>
      <c r="L95" s="164">
        <f>IF(K79="","",ABS((K79-L79)))</f>
        <v>0.86</v>
      </c>
      <c r="M95" s="164">
        <f>IF(K79="","",ABS((K79-M79)))</f>
        <v>13.9</v>
      </c>
      <c r="N95" s="164"/>
      <c r="O95" s="164">
        <f>IF(N79="","",ABS((N79-O79)))</f>
        <v>1.0489999999999999</v>
      </c>
      <c r="P95" s="164">
        <f>IF(N79="","",ABS((N79-P79)))</f>
        <v>23.978999999999999</v>
      </c>
      <c r="Q95" s="164"/>
      <c r="R95" s="164">
        <f>IF(Q79="","",ABS((Q79-R79)))</f>
        <v>0.84</v>
      </c>
      <c r="S95" s="164">
        <f>IF(Q79="","",ABS((Q79-S79)))</f>
        <v>24.17</v>
      </c>
      <c r="T95" s="164"/>
      <c r="U95" s="164">
        <f>ABS((T79-U79))</f>
        <v>1.6</v>
      </c>
      <c r="V95" s="164">
        <f>ABS((T79-V79))</f>
        <v>9.1999999999999993</v>
      </c>
      <c r="W95" s="164"/>
      <c r="X95" s="164" t="e">
        <f>ABS((W79-X79))</f>
        <v>#N/A</v>
      </c>
      <c r="Y95" s="164" t="e">
        <f>ABS((W79-Y79))</f>
        <v>#N/A</v>
      </c>
      <c r="Z95" s="164"/>
      <c r="AA95" s="164">
        <f>IF(Z79="","",ABS((Z79-AA79)))</f>
        <v>1.01</v>
      </c>
      <c r="AB95" s="164">
        <f>IF(Z79="","",ABS((Z79-AB79)))</f>
        <v>3.99</v>
      </c>
      <c r="AC95" s="164"/>
      <c r="AD95" s="164">
        <f>IF(AC79="","",ABS((AC79-AD79)))</f>
        <v>1.02</v>
      </c>
      <c r="AE95" s="164">
        <f>IF(AC79="","",ABS((AC79-AE79)))</f>
        <v>3.9699999999999998</v>
      </c>
      <c r="AF95" s="164"/>
      <c r="AG95" s="164">
        <f>IF(AF79="","",ABS((AF79-AG79)))</f>
        <v>1</v>
      </c>
      <c r="AH95" s="164">
        <f>IF(AF79="","",ABS((AF79-AH79)))</f>
        <v>3.9800000000000004</v>
      </c>
      <c r="AI95" s="164"/>
      <c r="AJ95" s="164">
        <f>IF(AI79="","",ABS((AI79-AJ79)))</f>
        <v>0.97</v>
      </c>
      <c r="AK95" s="164">
        <f>IF(AI79="","",ABS((AI79-AK79)))</f>
        <v>3.99</v>
      </c>
      <c r="AL95" s="164"/>
      <c r="AM95" s="164">
        <f>IF(AL79="","",ABS((AL79-AM79)))</f>
        <v>1.1000000000000001</v>
      </c>
      <c r="AN95" s="164">
        <f>IF(AL79="","",ABS((AL79-AN79)))</f>
        <v>8.9</v>
      </c>
      <c r="AO95" s="164"/>
      <c r="AP95" s="164">
        <f>IF(AO79="","",ABS((AO79-AP79)))</f>
        <v>1.2</v>
      </c>
      <c r="AQ95" s="164">
        <f>IF(AO79="","",ABS((AO79-AQ79)))</f>
        <v>13.9</v>
      </c>
      <c r="AR95" s="164"/>
      <c r="AS95" s="164">
        <f>IF(AR79="","",ABS((AR79-AS79)))</f>
        <v>1.2</v>
      </c>
      <c r="AT95" s="164">
        <f>IF(AR79="","",ABS((AR79-AT79)))</f>
        <v>13.8</v>
      </c>
      <c r="AU95" s="164"/>
      <c r="AV95" s="164">
        <f>IF(AU79="","",ABS((AU79-AV79)))</f>
        <v>19.52</v>
      </c>
      <c r="AW95" s="164">
        <f>IF(AU79="","",ABS((AU79-AW79)))</f>
        <v>19.52</v>
      </c>
      <c r="AX95" s="164"/>
      <c r="AY95" s="164">
        <f>IF(AX79="","",ABS((AX79-AY79)))</f>
        <v>19.559999999999999</v>
      </c>
      <c r="AZ95" s="164">
        <f>IF(AX79="","",ABS((AX79-AZ79)))</f>
        <v>19.559999999999999</v>
      </c>
      <c r="BA95" s="150"/>
      <c r="BB95" s="150" t="e">
        <f>ABS($H$70-BB73)</f>
        <v>#VALUE!</v>
      </c>
      <c r="BC95" s="150" t="e">
        <f>ABS($H$70-BC73)</f>
        <v>#VALUE!</v>
      </c>
    </row>
    <row r="96" spans="1:55" x14ac:dyDescent="0.25">
      <c r="G96" s="150"/>
    </row>
  </sheetData>
  <mergeCells count="34">
    <mergeCell ref="AL4:AN4"/>
    <mergeCell ref="AL5:AN5"/>
    <mergeCell ref="AX4:AZ4"/>
    <mergeCell ref="AX5:AZ5"/>
    <mergeCell ref="AR4:AT4"/>
    <mergeCell ref="AR5:AT5"/>
    <mergeCell ref="AO4:AQ4"/>
    <mergeCell ref="AO5:AQ5"/>
    <mergeCell ref="AU4:AW4"/>
    <mergeCell ref="AU5:AW5"/>
    <mergeCell ref="Q5:S5"/>
    <mergeCell ref="Z5:AB5"/>
    <mergeCell ref="AC5:AE5"/>
    <mergeCell ref="AF4:AH4"/>
    <mergeCell ref="N4:P4"/>
    <mergeCell ref="Q4:S4"/>
    <mergeCell ref="Z4:AB4"/>
    <mergeCell ref="AC4:AE4"/>
    <mergeCell ref="K4:M4"/>
    <mergeCell ref="K5:M5"/>
    <mergeCell ref="AI4:AK4"/>
    <mergeCell ref="AI5:AK5"/>
    <mergeCell ref="B4:D4"/>
    <mergeCell ref="E4:G4"/>
    <mergeCell ref="H4:J4"/>
    <mergeCell ref="T4:V4"/>
    <mergeCell ref="W4:Y4"/>
    <mergeCell ref="B5:D5"/>
    <mergeCell ref="E5:G5"/>
    <mergeCell ref="H5:J5"/>
    <mergeCell ref="T5:V5"/>
    <mergeCell ref="W5:Y5"/>
    <mergeCell ref="AF5:AH5"/>
    <mergeCell ref="N5:P5"/>
  </mergeCells>
  <conditionalFormatting sqref="B4:D56">
    <cfRule type="expression" dxfId="11" priority="12">
      <formula>$B$5&lt;$A$1</formula>
    </cfRule>
  </conditionalFormatting>
  <conditionalFormatting sqref="E4:G56">
    <cfRule type="expression" dxfId="10" priority="11">
      <formula>$E$5&lt;$A$1</formula>
    </cfRule>
  </conditionalFormatting>
  <conditionalFormatting sqref="H4:J56">
    <cfRule type="expression" dxfId="9" priority="10">
      <formula>$H$5&lt;$A$1</formula>
    </cfRule>
  </conditionalFormatting>
  <conditionalFormatting sqref="K4:M56">
    <cfRule type="expression" dxfId="8" priority="9">
      <formula>$K$5&lt;$A$1</formula>
    </cfRule>
  </conditionalFormatting>
  <conditionalFormatting sqref="N4:P56">
    <cfRule type="expression" dxfId="7" priority="8">
      <formula>$N$5&lt;$A$1</formula>
    </cfRule>
  </conditionalFormatting>
  <conditionalFormatting sqref="T4:V56">
    <cfRule type="expression" dxfId="6" priority="7">
      <formula>$T$5&lt;$A$1</formula>
    </cfRule>
  </conditionalFormatting>
  <conditionalFormatting sqref="Z4:AK56">
    <cfRule type="expression" dxfId="5" priority="6">
      <formula>$Z$5&lt;$A$1</formula>
    </cfRule>
  </conditionalFormatting>
  <conditionalFormatting sqref="AL4:AN56">
    <cfRule type="expression" dxfId="4" priority="5">
      <formula>$AL$5&lt;$A$1</formula>
    </cfRule>
  </conditionalFormatting>
  <conditionalFormatting sqref="AO4:AQ56">
    <cfRule type="expression" dxfId="3" priority="4">
      <formula>$AO$5&lt;$A$1</formula>
    </cfRule>
  </conditionalFormatting>
  <conditionalFormatting sqref="AR4:AT56">
    <cfRule type="expression" dxfId="2" priority="3">
      <formula>$AR$5&lt;$A$1</formula>
    </cfRule>
  </conditionalFormatting>
  <conditionalFormatting sqref="AU4:AW56">
    <cfRule type="expression" dxfId="1" priority="2">
      <formula>$AU$5&lt;$A$1</formula>
    </cfRule>
  </conditionalFormatting>
  <conditionalFormatting sqref="AX4:AZ56">
    <cfRule type="expression" dxfId="0" priority="1">
      <formula>$AX$5&lt;$A$1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datos crudos</vt:lpstr>
      <vt:lpstr>Reporte (2)</vt:lpstr>
      <vt:lpstr>Patrones</vt:lpstr>
      <vt:lpstr>'Reporte (2)'!Área_de_impresión</vt:lpstr>
      <vt:lpstr>matriz</vt:lpstr>
    </vt:vector>
  </TitlesOfParts>
  <Company>Probiomed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Amezcua</dc:creator>
  <cp:lastModifiedBy>Ricardo Israel Padua Tellez</cp:lastModifiedBy>
  <cp:lastPrinted>2024-11-21T17:08:30Z</cp:lastPrinted>
  <dcterms:created xsi:type="dcterms:W3CDTF">2008-02-14T20:19:42Z</dcterms:created>
  <dcterms:modified xsi:type="dcterms:W3CDTF">2026-08-20T03:30:28Z</dcterms:modified>
</cp:coreProperties>
</file>